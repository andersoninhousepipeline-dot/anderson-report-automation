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NGS Lab Files\9. PGS Data and Report\2026 PGS\1.January 2026\RUN_55_PGS_SURFSEQ_31-01-2026\"/>
    </mc:Choice>
  </mc:AlternateContent>
  <xr:revisionPtr revIDLastSave="0" documentId="13_ncr:1_{4B9E3961-DA67-47E0-9280-05620FF6BB9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Details" sheetId="3" r:id="rId2"/>
    <sheet name="Sheet1" sheetId="5" state="hidden" r:id="rId3"/>
    <sheet name="GC comments" sheetId="4" r:id="rId4"/>
    <sheet name="Inconclusive" sheetId="2" r:id="rId5"/>
  </sheets>
  <definedNames>
    <definedName name="_xlnm._FilterDatabase" localSheetId="0" hidden="1">summary!$A$14:$P$131</definedName>
  </definedNames>
  <calcPr calcId="191029"/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1" i="5"/>
</calcChain>
</file>

<file path=xl/sharedStrings.xml><?xml version="1.0" encoding="utf-8"?>
<sst xmlns="http://schemas.openxmlformats.org/spreadsheetml/2006/main" count="1868" uniqueCount="610">
  <si>
    <t>Analysis Results</t>
  </si>
  <si>
    <t>Sample name</t>
  </si>
  <si>
    <t>QC</t>
  </si>
  <si>
    <t>Conclusion</t>
  </si>
  <si>
    <t>Karyotype MWF</t>
  </si>
  <si>
    <t>Result</t>
  </si>
  <si>
    <t>REPORT ASSIGNED</t>
  </si>
  <si>
    <t>RITHIKA</t>
  </si>
  <si>
    <t>Naveen</t>
  </si>
  <si>
    <t>MAPD</t>
  </si>
  <si>
    <t>BinCV</t>
  </si>
  <si>
    <t>CNVMergeCV</t>
  </si>
  <si>
    <t>MTcopy</t>
  </si>
  <si>
    <t>CNVpq</t>
  </si>
  <si>
    <t>UniqueReads</t>
  </si>
  <si>
    <t xml:space="preserve"> Patient Name</t>
  </si>
  <si>
    <t>No. of Embryos received</t>
  </si>
  <si>
    <t>Embryo Name</t>
  </si>
  <si>
    <t>Controls WGA &amp; seq controls</t>
  </si>
  <si>
    <t>Test Name</t>
  </si>
  <si>
    <t>Client Name</t>
  </si>
  <si>
    <t>Location</t>
  </si>
  <si>
    <t>Embryologist</t>
  </si>
  <si>
    <t>WGA Conc. (ng/µL)</t>
  </si>
  <si>
    <t>Embryo Details</t>
  </si>
  <si>
    <t>Result Summary</t>
  </si>
  <si>
    <t xml:space="preserve">Test </t>
  </si>
  <si>
    <t>Date of Biopsy</t>
  </si>
  <si>
    <t>Date Sample Received</t>
  </si>
  <si>
    <t>Date TRF received</t>
  </si>
  <si>
    <t>BOX Number</t>
  </si>
  <si>
    <t>Sample ID</t>
  </si>
  <si>
    <t>Remarks</t>
  </si>
  <si>
    <t>Patient Name</t>
  </si>
  <si>
    <t>NUMBER OF EMBRYOS</t>
  </si>
  <si>
    <t>Center name</t>
  </si>
  <si>
    <t>EMBRYOLOGIST NAME</t>
  </si>
  <si>
    <t>KIT DETAIL</t>
  </si>
  <si>
    <t>WGA Done by</t>
  </si>
  <si>
    <t>Attune upload</t>
  </si>
  <si>
    <t>NGS Report</t>
  </si>
  <si>
    <t>Shivangi</t>
  </si>
  <si>
    <t>SWETHA</t>
  </si>
  <si>
    <t>GENDER</t>
  </si>
  <si>
    <t>Karyotype NORMAL WF</t>
  </si>
  <si>
    <t xml:space="preserve">REPEAT: </t>
  </si>
  <si>
    <t xml:space="preserve">NO OF EMBRYOS: </t>
  </si>
  <si>
    <t>Received by</t>
  </si>
  <si>
    <t>RUN</t>
  </si>
  <si>
    <t>S.NO</t>
  </si>
  <si>
    <t>WGA DONE ON</t>
  </si>
  <si>
    <t>WGA Storage Box</t>
  </si>
  <si>
    <t>SEQ DATE</t>
  </si>
  <si>
    <t>SEQ Platform</t>
  </si>
  <si>
    <t>Embryo grade</t>
  </si>
  <si>
    <t>AARTHI-AK1_L03_R1</t>
  </si>
  <si>
    <t>PASS</t>
  </si>
  <si>
    <t>Abnormal</t>
  </si>
  <si>
    <t>XY</t>
  </si>
  <si>
    <t>-22</t>
  </si>
  <si>
    <t>AARTHI-AK2_L03_R1</t>
  </si>
  <si>
    <t>No copy number abnormality</t>
  </si>
  <si>
    <t>XX</t>
  </si>
  <si>
    <t>Euploid</t>
  </si>
  <si>
    <t>AARTHI-AK3_L03_R1</t>
  </si>
  <si>
    <t>AARTHI-AK4_L03_R1</t>
  </si>
  <si>
    <t>del(2)(p25.3p11.2)(~89.50Mb,~61%),-15</t>
  </si>
  <si>
    <t>AMRITABANGA-ARE1_L01_R1</t>
  </si>
  <si>
    <t>Mosaic</t>
  </si>
  <si>
    <t>XY,+X(~52%)</t>
  </si>
  <si>
    <t>+X(~52%),del(1)(q21.1q44)(~104.75Mb,~42%),+22(~51%)</t>
  </si>
  <si>
    <t>AMRITABANGA-ARE2_L02_R1</t>
  </si>
  <si>
    <t>dup(8)(q24.13q24.3)(~23.36Mb,~62%)</t>
  </si>
  <si>
    <t>AMRITABANGA-ARE3_L01_R1</t>
  </si>
  <si>
    <t>+15(~38%),dup(21)(q11.2q22.3)(~30.00Mb),+22(~56%)</t>
  </si>
  <si>
    <t>ANANTHI-AL2_L02_R1</t>
  </si>
  <si>
    <t>dup(1)(p31.1q44)(~166.75Mb,~36%),dup(19)(p13.3q13.43)(~54.63Mb),+21</t>
  </si>
  <si>
    <t>ANANTHI-AL3_L01_R1</t>
  </si>
  <si>
    <t>FAIL</t>
  </si>
  <si>
    <t>NA</t>
  </si>
  <si>
    <t>N/A</t>
  </si>
  <si>
    <t>ANANTHI-AL4_L02_R1</t>
  </si>
  <si>
    <t>ANJALITANEJA-EAT1_L02_R1</t>
  </si>
  <si>
    <t>del(7)(q11.22q36.3)(~88.64Mb,~49%)</t>
  </si>
  <si>
    <t>ANJALITANEJA-EAT2_L02_R1</t>
  </si>
  <si>
    <t>ANJALITANEJA-EAT3_L02_R1</t>
  </si>
  <si>
    <t>ANJALITANEJA-EAT4_L02_R1</t>
  </si>
  <si>
    <t>BELMAYAKHAMCHA-BMK1_L01_R1</t>
  </si>
  <si>
    <t>BELMAYAKHAMCHA-BMK2_L03_R1</t>
  </si>
  <si>
    <t>dup(8)(q24.13q24.3)(~21.36Mb,~30%),+13</t>
  </si>
  <si>
    <t>DEEPADAMODARAN-DB1_L02_R1</t>
  </si>
  <si>
    <t>DEEPALAKSHMI-DS1_L02_R1</t>
  </si>
  <si>
    <t>DHIVYA-DK1_L02_R1</t>
  </si>
  <si>
    <t>DHIVYA-DK2_L02_R1</t>
  </si>
  <si>
    <t>DHIVYA-DK3_L02_R1</t>
  </si>
  <si>
    <t>DHIVYA-DK4_L02_R1</t>
  </si>
  <si>
    <t>DIVYAJAIVIGNESH-DJ1_L02_R1</t>
  </si>
  <si>
    <t>DIVYAJAIVIGNESH-DJ2_L02_R1</t>
  </si>
  <si>
    <t>del(7)(q35q36.3)(~14.64Mb,~45%)</t>
  </si>
  <si>
    <t>DOODEKULASHAREEFA-SB1_L02_R1</t>
  </si>
  <si>
    <t>-4(~44%)</t>
  </si>
  <si>
    <t>DRISTISHARMA-DS1_L01_R1</t>
  </si>
  <si>
    <t>DRISTISHARMA-DS2_L01_R1</t>
  </si>
  <si>
    <t>DRISTISHARMA-DS3_L01_R1</t>
  </si>
  <si>
    <t>dup(8)(q24.13q24.3)(~21.86Mb,~37%)</t>
  </si>
  <si>
    <t>DRISTISHARMA-DS4_L03_R1</t>
  </si>
  <si>
    <t>GIRIJARAMESHWARJADHAV-GR1_L01_R1</t>
  </si>
  <si>
    <t>GIRIJARAMESHWARJADHAV-GR2_L02_R1</t>
  </si>
  <si>
    <t>GIRIJARAMESHWARJADHAV-GR3_L01_R1</t>
  </si>
  <si>
    <t>HARITHARAJAN-HD1_L02_R1</t>
  </si>
  <si>
    <t>dup(9)(q21.11q34.3)(~70.71Mb,~36%)</t>
  </si>
  <si>
    <t>HARSHADAJADHAWAR-HS2_L01_R1</t>
  </si>
  <si>
    <t>XY,+X(~36%)</t>
  </si>
  <si>
    <t>+X(~36%)</t>
  </si>
  <si>
    <t>HARSHADAJADHAWAR-HS3_L03_R1</t>
  </si>
  <si>
    <t>HARSHADAJADHAWAR-HS4_L03_R1</t>
  </si>
  <si>
    <t>+22</t>
  </si>
  <si>
    <t>IFASHAZAHIR-IZ1_L02_R1</t>
  </si>
  <si>
    <t>XO,-X</t>
  </si>
  <si>
    <t>-X</t>
  </si>
  <si>
    <t>INDRAKUMARIGURUNG-KG1_L01_R1</t>
  </si>
  <si>
    <t>INDRAKUMARIGURUNG-KG2_L01_R1</t>
  </si>
  <si>
    <t>JONNALAMYTHIRI-MJ1_L01_R1</t>
  </si>
  <si>
    <t>JONNALAMYTHIRI-MJ2_L01_R1</t>
  </si>
  <si>
    <t>JONNALAMYTHIRI-MJ3_L01_R1</t>
  </si>
  <si>
    <t>-21</t>
  </si>
  <si>
    <t>JONNALAMYTHIRI-MJ4_L02_R1</t>
  </si>
  <si>
    <t>dup(12)(q24.13q24.31)(~10.50Mb)</t>
  </si>
  <si>
    <t>JONNALAMYTHIRI-MJ5_L02_R1</t>
  </si>
  <si>
    <t>JONNALAMYTHIRI-MJ6_L01_R1</t>
  </si>
  <si>
    <t>JONNALAMYTHIRI-MJ7_L01_R1</t>
  </si>
  <si>
    <t>JOYITADAS-JD1_L02_R1</t>
  </si>
  <si>
    <t>JOYITADAS-JD2_L02_R1</t>
  </si>
  <si>
    <t>JOYITADAS-JD3_L02_R1</t>
  </si>
  <si>
    <t>dup(11)(p15.5p11.12)(~49.00Mb,~41%),-15,-16</t>
  </si>
  <si>
    <t>JOYITADAS-JD4_L02_R1</t>
  </si>
  <si>
    <t>JYOTITIWANI-JB1_L01_R1</t>
  </si>
  <si>
    <t>-2(~30%)</t>
  </si>
  <si>
    <t>JYOTITIWANI-JB2_L01_R1</t>
  </si>
  <si>
    <t>KAVITHA-KD1_L01_R1</t>
  </si>
  <si>
    <t>KAVITHA-KD2_L03_R1</t>
  </si>
  <si>
    <t>+15(~64%)</t>
  </si>
  <si>
    <t>KAVITHA-KD3_L03_R1</t>
  </si>
  <si>
    <t>del(9)(q21.11q34.3)(~70.71Mb)</t>
  </si>
  <si>
    <t>KAVITHA-KD4_L03_R1</t>
  </si>
  <si>
    <t>-16,-22</t>
  </si>
  <si>
    <t>KHUSHBOOCHAWLA-KR1_L01_R1</t>
  </si>
  <si>
    <t>KHUSHBOORAI-KR1_L02_R1</t>
  </si>
  <si>
    <t>KHUSHBOORAI-KR2_L02_R1</t>
  </si>
  <si>
    <t>+4(~63%)</t>
  </si>
  <si>
    <t>LAKSHMIPRIYA-LP1_L03_R1</t>
  </si>
  <si>
    <t>LAKSHMIPRIYA-LP2_L03_R1</t>
  </si>
  <si>
    <t>LAKSHMIPRIYA-LP3_L03_R1</t>
  </si>
  <si>
    <t>LAKSHMIPRIYA-LP4_L03_R1</t>
  </si>
  <si>
    <t>LAVANYA-LV1_L01_R1</t>
  </si>
  <si>
    <t>LAVANYA-LV2_L02_R1</t>
  </si>
  <si>
    <t>LAVANYASEKAR-LM1_L01_R1</t>
  </si>
  <si>
    <t>LAVANYASEKAR-LM2_L01_R1</t>
  </si>
  <si>
    <t>dup(7)(p22.3p21.3)(~13.00Mb)</t>
  </si>
  <si>
    <t>MANISHAGUSUNG-MG1_L01_R1</t>
  </si>
  <si>
    <t>dup(4)(q31.3q35.2)(~38.65Mb,~55%),dup(6)(p25.3p11.2)(~58.00Mb,~38%)</t>
  </si>
  <si>
    <t>MANISHAGUSUNG-MG2_L01_R1</t>
  </si>
  <si>
    <t>MANISHAGUSUNG-MG3_L01_R1</t>
  </si>
  <si>
    <t>NEHASHARMA-NSS1_L02_R1</t>
  </si>
  <si>
    <t>+14(~38%),-16</t>
  </si>
  <si>
    <t>NEHASHARMA-NSS2_L01_R1</t>
  </si>
  <si>
    <t>NEHASHARMA-NSS3_L01_R1</t>
  </si>
  <si>
    <t>NEHASHARMA-NSS4_L01_R1</t>
  </si>
  <si>
    <t>NEHASHARMA-NSS5_L01_R1</t>
  </si>
  <si>
    <t>NIKITAPOUDEL-NP1_L03_R1</t>
  </si>
  <si>
    <t>del(2)(q32.1q37.3)(~55.20Mb)</t>
  </si>
  <si>
    <t>NIKITAPOUDEL-NP2_L03_R1</t>
  </si>
  <si>
    <t>NIKITAPOUDEL-NP3_L03_R1</t>
  </si>
  <si>
    <t>XY,+Y(~46%)</t>
  </si>
  <si>
    <t>+Y(~46%),+22(~46%)</t>
  </si>
  <si>
    <t>PABITRASHRESTHA-PS1_L01_R1</t>
  </si>
  <si>
    <t>PABITRASHRESTHA-PS2_L03_R1</t>
  </si>
  <si>
    <t>PALLAVI-PK1_L02_R1</t>
  </si>
  <si>
    <t>dup(11)(p15.5p14.3)(~22.00Mb,~51%),dup(11)(q14.1q23.3)(~39.50Mb),del(11)(q23.3q25)(~18.51Mb)</t>
  </si>
  <si>
    <t>PUJARANISWAIN-PS1_L02_R1</t>
  </si>
  <si>
    <t>dup(18)(p11.32q22.3)(~70.00Mb,~36%)</t>
  </si>
  <si>
    <t>PUJARANISWAIN-PS2_L02_R1</t>
  </si>
  <si>
    <t>PUJARANISWAIN-PS3_L02_R1</t>
  </si>
  <si>
    <t>del(6)(q25.1q27)(~19.12Mb),+21(~48%)</t>
  </si>
  <si>
    <t>PUJARANISWAIN-PS4_L02_R1</t>
  </si>
  <si>
    <t>PURNIMAJAIN-PS1_L02_R1</t>
  </si>
  <si>
    <t>PURNIMAJAIN-PS2_L02_R1</t>
  </si>
  <si>
    <t>XXY,+X</t>
  </si>
  <si>
    <t>+X,-16</t>
  </si>
  <si>
    <t>RAJESHWARI-RD1_L01_R1</t>
  </si>
  <si>
    <t>dup(16)(p13.3p11.2)(~23.50Mb),dup(16)(q12.1q13)(~10.00Mb),dup(16)(q12.2q23.1)(~22.50Mb),dup(16)(q23.1q24.3)(~11.85Mb)</t>
  </si>
  <si>
    <t>RAJESHWARI-RD3_L01_R1</t>
  </si>
  <si>
    <t>RAJESHWARI-RD5_L03_R1</t>
  </si>
  <si>
    <t>+1,del(3)(q11.1q29)(~105.02Mb,~31%),+6(~45%),-8(~69%),+16(~57%),+21,dup(22)(q11.23q13.33)(~26.30Mb,~30%)</t>
  </si>
  <si>
    <t>RAJESHWARI-RD6_L03_R1</t>
  </si>
  <si>
    <t>XX (Suspected to contain 5% of Y-chromosome)</t>
  </si>
  <si>
    <t>dup(6)(p25.3p22.3)(~21.00Mb),del(19)(p13.3p11)(~25.00Mb,~32%)</t>
  </si>
  <si>
    <t>RAJESHWARI-RD8_L01_R1</t>
  </si>
  <si>
    <t>XX (Suspected to contain 7% of Y-chromosome)</t>
  </si>
  <si>
    <t>RUHINIGAR-RP1_L02_R1</t>
  </si>
  <si>
    <t>RUHINIGAR-RP2_L02_R1</t>
  </si>
  <si>
    <t>SAHANA-SN1_L02_R1</t>
  </si>
  <si>
    <t>SAMJHANAKATHEL-SK1_L03_R1</t>
  </si>
  <si>
    <t>SAPANAPARAJULI-SP1_L01_R1</t>
  </si>
  <si>
    <t>SAPANAPARAJULI-SP2_L03_R1</t>
  </si>
  <si>
    <t>SHARMILA-SM3_L01_R1</t>
  </si>
  <si>
    <t>SHARMILA-SM4_L01_R1</t>
  </si>
  <si>
    <t>SHARMILA-SM5_L01_R1</t>
  </si>
  <si>
    <t>dup(4)(p16.3q13.1)(~62.50Mb),dup(16)(p13.3p11.1)(~35.50Mb)</t>
  </si>
  <si>
    <t>SINDHU-SR1_L02_R1</t>
  </si>
  <si>
    <t>SINDHU-SR2_L02_R1</t>
  </si>
  <si>
    <t>+1,+16</t>
  </si>
  <si>
    <t>SUBHRAMANE-SM1_L02_R1</t>
  </si>
  <si>
    <t>+4(~44%),-5(~56%),+13(~45%)</t>
  </si>
  <si>
    <t>SUBHRAMANE-SM2_L01_R1</t>
  </si>
  <si>
    <t>SUBHRAMANE-SM3_L02_R1</t>
  </si>
  <si>
    <t>-19</t>
  </si>
  <si>
    <t>SUJATASHRIPAL-SS1_L01_R1</t>
  </si>
  <si>
    <t>dup(21)(q11.2q22.3)(~30.50Mb,~41%)</t>
  </si>
  <si>
    <t>SUJATASHRIPAL-SS2_L01_R1</t>
  </si>
  <si>
    <t>SUJATASHRIPAL-SS3_L01_R1</t>
  </si>
  <si>
    <t>SUJATASHRIPAL-SS4_L02_R1</t>
  </si>
  <si>
    <t>dup(4)(p16.3q22.3)(~98.00Mb,~67%),del(4)(q22.3q35.2)(~93.65Mb)</t>
  </si>
  <si>
    <t>SUJATASHRIPAL-SS5_L01_R1</t>
  </si>
  <si>
    <t>TIGIREDDYDEVI-DT1_L02_R1</t>
  </si>
  <si>
    <t>TIGIREDDYDEVI-DT2_L02_R1</t>
  </si>
  <si>
    <t>TIGIREDDYDEVI-DT3_L02_R1</t>
  </si>
  <si>
    <t>dup(12)(q23.2q24.33)(~31.35Mb,~33%)</t>
  </si>
  <si>
    <t>VENKATAKIRANMAI-VT1_L02_R1</t>
  </si>
  <si>
    <t>XY,+X(~42%)</t>
  </si>
  <si>
    <t>+X(~42%)</t>
  </si>
  <si>
    <t>VENKATAKIRANMAI-VT2_L01_R1</t>
  </si>
  <si>
    <t>ZEBAIDRISKHAN-ZK1_L02_R1</t>
  </si>
  <si>
    <t>PGT-A</t>
  </si>
  <si>
    <t>dup(6)(p25.3p22.3)(~21.00Mb)</t>
  </si>
  <si>
    <t>+1,-8,+16,+21</t>
  </si>
  <si>
    <t>dup(16)(p13.3p11.2)(~23.50Mb),dup(16)(q12.1q21)(~11.50Mb),dup(16)(q21q23.1)(~21.00Mb),dup(16)(q23.1q24.3)(~11.85Mb)</t>
  </si>
  <si>
    <t>del(6)(q25.1q27)(~19.12Mb)</t>
  </si>
  <si>
    <t>dup(11)(p15.5p14.3)(~22.00Mb),dup(11)(q14.1q23.3)(~39.50Mb),del(11)(q23.3q25)(~18.51Mb)</t>
  </si>
  <si>
    <t>-16</t>
  </si>
  <si>
    <t>dup(4)(q31.3q35.2)(~38.65Mb)</t>
  </si>
  <si>
    <t>+4</t>
  </si>
  <si>
    <t>+15</t>
  </si>
  <si>
    <t>-15,-16</t>
  </si>
  <si>
    <t>+13</t>
  </si>
  <si>
    <t>dup(19)(p13.3q13.43)(~54.63Mb),+21</t>
  </si>
  <si>
    <t>dup(21)(q11.2q22.3)(~30.00Mb),+22</t>
  </si>
  <si>
    <t>dup(8)(q24.13q24.3)(~23.36Mb)</t>
  </si>
  <si>
    <t>+X,+22</t>
  </si>
  <si>
    <t>del(2)(p25.3p11.2)(~89.50Mb),-15</t>
  </si>
  <si>
    <t>-5</t>
  </si>
  <si>
    <t>dup(4)(p16.3q22.3)(~98.00Mb),del(4)(q22.3q35.2)(~93.65Mb)</t>
  </si>
  <si>
    <t>L-22</t>
  </si>
  <si>
    <t>L-21</t>
  </si>
  <si>
    <t>SL-2,L-15</t>
  </si>
  <si>
    <t>SG-21,G-22</t>
  </si>
  <si>
    <t>SG-19,G-21</t>
  </si>
  <si>
    <t>G-13</t>
  </si>
  <si>
    <t>G-22</t>
  </si>
  <si>
    <t>ABNORMAL SEX</t>
  </si>
  <si>
    <t>SG-12</t>
  </si>
  <si>
    <t>L-15,16</t>
  </si>
  <si>
    <t>SL-9</t>
  </si>
  <si>
    <t>L-16,22</t>
  </si>
  <si>
    <t>SG-7</t>
  </si>
  <si>
    <t>L-16</t>
  </si>
  <si>
    <t>SL-2</t>
  </si>
  <si>
    <t>SG AND SL-11</t>
  </si>
  <si>
    <t>SL-6</t>
  </si>
  <si>
    <t>ABNORMAL SEX, L-16</t>
  </si>
  <si>
    <t>SG-16</t>
  </si>
  <si>
    <t>MCA</t>
  </si>
  <si>
    <t>SG-6</t>
  </si>
  <si>
    <t>MG-4</t>
  </si>
  <si>
    <t>SG-4,16</t>
  </si>
  <si>
    <t>G-1,16</t>
  </si>
  <si>
    <t>L-19</t>
  </si>
  <si>
    <t>SG-4,SL-4</t>
  </si>
  <si>
    <t>SMG-8</t>
  </si>
  <si>
    <t>SML-7</t>
  </si>
  <si>
    <t>ML-4</t>
  </si>
  <si>
    <t>SMG-9</t>
  </si>
  <si>
    <t>MOSAIC GAIN SEX (36%)</t>
  </si>
  <si>
    <t>ML-2</t>
  </si>
  <si>
    <t>MG-15</t>
  </si>
  <si>
    <t>SMG-4, SMG-6</t>
  </si>
  <si>
    <t>MOSAIC GAIN SEX (46%), MG-22</t>
  </si>
  <si>
    <t>SMG-18</t>
  </si>
  <si>
    <t xml:space="preserve">MULTIPLE MOSAIC </t>
  </si>
  <si>
    <t>SMG-21</t>
  </si>
  <si>
    <t>SMG-12</t>
  </si>
  <si>
    <t>MOSAIC GAIN SEX (42%)</t>
  </si>
  <si>
    <t>RESEQUENCING</t>
  </si>
  <si>
    <t>INCONCLUSIVE HIGH MAPD</t>
  </si>
  <si>
    <t>INCONCLUSIVE LOW READS</t>
  </si>
  <si>
    <t>INCONCLUSIVE HIGH BINCV</t>
  </si>
  <si>
    <t>AL3</t>
  </si>
  <si>
    <t>AL4</t>
  </si>
  <si>
    <t>ANANTHI</t>
  </si>
  <si>
    <t>MJ5</t>
  </si>
  <si>
    <t>JONNALAMYTHIRI</t>
  </si>
  <si>
    <t>JB2</t>
  </si>
  <si>
    <t>JYOTITIWANI</t>
  </si>
  <si>
    <t>KAVITHA</t>
  </si>
  <si>
    <t>KD1</t>
  </si>
  <si>
    <t>LV1</t>
  </si>
  <si>
    <t>LAVANYA</t>
  </si>
  <si>
    <t>LM1</t>
  </si>
  <si>
    <t>LAVANYASEKAR</t>
  </si>
  <si>
    <t>SM3</t>
  </si>
  <si>
    <t>SHARMILA</t>
  </si>
  <si>
    <t>SM2</t>
  </si>
  <si>
    <t>SUBHRAMANE</t>
  </si>
  <si>
    <t>SS2</t>
  </si>
  <si>
    <t>SUJATASHRIPAL</t>
  </si>
  <si>
    <t>VT2</t>
  </si>
  <si>
    <t>VENKATAKIRANMAI</t>
  </si>
  <si>
    <t>EUPLOID</t>
  </si>
  <si>
    <t>AL-2,3,4</t>
  </si>
  <si>
    <t>NC</t>
  </si>
  <si>
    <t>PGTA</t>
  </si>
  <si>
    <t>A4 FERTILITY CENTRE</t>
  </si>
  <si>
    <t>CHENNAI</t>
  </si>
  <si>
    <t>JAYARAMAN</t>
  </si>
  <si>
    <t>MJ-1,2,3,4,5,6,7</t>
  </si>
  <si>
    <t>MJ1.</t>
  </si>
  <si>
    <t>9M FERTILITY CENTRE</t>
  </si>
  <si>
    <t>HYDERABAD</t>
  </si>
  <si>
    <t>RAJASEHKAR</t>
  </si>
  <si>
    <t>JB-1,2</t>
  </si>
  <si>
    <t>NC-1,2</t>
  </si>
  <si>
    <t>PROGENESIS FERTILITY CENTRE</t>
  </si>
  <si>
    <t>THANE</t>
  </si>
  <si>
    <t>PRANITA BAWASKAR</t>
  </si>
  <si>
    <t>KD-1,2,3,4</t>
  </si>
  <si>
    <t>NC1</t>
  </si>
  <si>
    <t>KAMALESWARI FERTILITY</t>
  </si>
  <si>
    <t>RADHA KRISHNAN</t>
  </si>
  <si>
    <t>LV-1,2</t>
  </si>
  <si>
    <t>WOMEN CENTRE MOTHERHOOD FERTILITY HOSPITAL</t>
  </si>
  <si>
    <t>BANGALORE</t>
  </si>
  <si>
    <t>SANTHOSH KUMAR</t>
  </si>
  <si>
    <t>LM-1,2</t>
  </si>
  <si>
    <t>RAJESH KUMAR</t>
  </si>
  <si>
    <t>SM-3,4,5</t>
  </si>
  <si>
    <t>NC-3,4,5</t>
  </si>
  <si>
    <t>GBR FERTILITY CENTRE</t>
  </si>
  <si>
    <t>YAMINI</t>
  </si>
  <si>
    <t>SM-1,2,3</t>
  </si>
  <si>
    <t>SUNANDA IVF</t>
  </si>
  <si>
    <t>KOLHAPUR</t>
  </si>
  <si>
    <t>AMAR NIKAM</t>
  </si>
  <si>
    <t>SS-1,2,3,4,5</t>
  </si>
  <si>
    <t>SSMC,SSC</t>
  </si>
  <si>
    <t>IDEAL FERTILITY CENTRE</t>
  </si>
  <si>
    <t>JABALPUR</t>
  </si>
  <si>
    <t>ISHANI BAMERJI</t>
  </si>
  <si>
    <t>VT-1,2</t>
  </si>
  <si>
    <t>B</t>
  </si>
  <si>
    <t>SUDHA FERTILITY CENTRE</t>
  </si>
  <si>
    <t>SALEM</t>
  </si>
  <si>
    <t>RAJARAJENDRAN</t>
  </si>
  <si>
    <t>VIGNESH</t>
  </si>
  <si>
    <t>AND25150117496</t>
  </si>
  <si>
    <t>Without box</t>
  </si>
  <si>
    <t>LAVANYA SEKAR</t>
  </si>
  <si>
    <t>CHROMINST</t>
  </si>
  <si>
    <t>AND25150117498</t>
  </si>
  <si>
    <t>R. DEEPALAKSHMI</t>
  </si>
  <si>
    <t>DS1</t>
  </si>
  <si>
    <t>AND25150117499</t>
  </si>
  <si>
    <t>Without box.
Dr. Anand Babu K, [27-01-2026 21:21] 
Anandhi, PGTA. Embryo tag mismatch. Please Confirm. 
Anjana ADL, [28-01-2026 13:13] 
Anandhi_ Husband name is Lingam Vijayakumar So mentioned as AL. So AL2, AL3,AL4 Emvryo tags</t>
  </si>
  <si>
    <t>JAN26P168</t>
  </si>
  <si>
    <t>AND25630004620</t>
  </si>
  <si>
    <t>DHIVYA</t>
  </si>
  <si>
    <t>DK-1,2,3,4</t>
  </si>
  <si>
    <t>C-1,2,3</t>
  </si>
  <si>
    <t>AKSHARA FERTILITY CENTRE</t>
  </si>
  <si>
    <t>K. RAJARAJAN</t>
  </si>
  <si>
    <t>NOV25P208</t>
  </si>
  <si>
    <t>AND25AE0000469</t>
  </si>
  <si>
    <t>SMT. SUJATA SHRIPAL</t>
  </si>
  <si>
    <t>DEC25P56</t>
  </si>
  <si>
    <t>AND25630004618</t>
  </si>
  <si>
    <t>Dr. Anand Babu K, [27-01-2026 21:19] 
Purnima jain, PGTA. Embryo tag mismatch. Please confirm.. 
Anjana ADL, [28-01-2026 11:46] 
Purnima jain_ Embryo tags PS0, PS1, PS2. They will share the embryo tags with correct embryo tags 
Dr. Anand Babu K, [28-01-2026 11:58] 
Is PS0 control? please confirm. 
Anjana ADL, [28-01-2026 14:02] 
Purnima Jain_PS0 is control tag</t>
  </si>
  <si>
    <t>PURNIMA JAIN</t>
  </si>
  <si>
    <t>PS-1,2</t>
  </si>
  <si>
    <t>PS0</t>
  </si>
  <si>
    <t>APOLLO FERTILITY CENTRE</t>
  </si>
  <si>
    <t>ROHINI</t>
  </si>
  <si>
    <t>NOV25P135</t>
  </si>
  <si>
    <t>AMB0000005194</t>
  </si>
  <si>
    <t>SUBHRA MANE</t>
  </si>
  <si>
    <t>JAN26P132</t>
  </si>
  <si>
    <t>ADB0000021792</t>
  </si>
  <si>
    <t>ANJALI TANEJA</t>
  </si>
  <si>
    <t>EAT-1,2,3,4</t>
  </si>
  <si>
    <t>ENC</t>
  </si>
  <si>
    <t>BIRTH RIGHT FERTILITY BY RAINBOW</t>
  </si>
  <si>
    <t>PRATIMA</t>
  </si>
  <si>
    <t>JAN26P13</t>
  </si>
  <si>
    <t>AND25810036379</t>
  </si>
  <si>
    <t>VENKATA KIRANMAI</t>
  </si>
  <si>
    <t>JAN26P128</t>
  </si>
  <si>
    <t>ADB0000021858</t>
  </si>
  <si>
    <t>SINDHU R</t>
  </si>
  <si>
    <t>SR-1,2</t>
  </si>
  <si>
    <t>SRC-1,2</t>
  </si>
  <si>
    <t>SHANTHI SHALL FERTILITY CENTRE</t>
  </si>
  <si>
    <t>H.BEMBEM</t>
  </si>
  <si>
    <t>JAN26P113</t>
  </si>
  <si>
    <t>ADB0000021855</t>
  </si>
  <si>
    <t>DOODEKULA SHAREEFA</t>
  </si>
  <si>
    <t>SB1</t>
  </si>
  <si>
    <t>SBBC</t>
  </si>
  <si>
    <t>NOVA IVF FERTILITY CENTRE</t>
  </si>
  <si>
    <t>HIMANI AGNIHOTKI</t>
  </si>
  <si>
    <t>24-01-2026 &amp; 25-01-2026</t>
  </si>
  <si>
    <t>DEC25P138</t>
  </si>
  <si>
    <t>ADB0000021733</t>
  </si>
  <si>
    <t>AMRITA BANGA</t>
  </si>
  <si>
    <t>ARE-1,2,3</t>
  </si>
  <si>
    <t>ASPIRE FERTILITY CENTRE</t>
  </si>
  <si>
    <t>SPANDANA HERLE</t>
  </si>
  <si>
    <t>ADITHYA</t>
  </si>
  <si>
    <t>JAN26P117</t>
  </si>
  <si>
    <t>AND25630004628</t>
  </si>
  <si>
    <t>JAN26P25</t>
  </si>
  <si>
    <t>AND25420006749</t>
  </si>
  <si>
    <t>KHUSHBOO RAI</t>
  </si>
  <si>
    <t>KR-1,2</t>
  </si>
  <si>
    <t>KR1.</t>
  </si>
  <si>
    <t>MEDICOVER FERTILITY CENTRE</t>
  </si>
  <si>
    <t>BEENA RAWAT</t>
  </si>
  <si>
    <t>JAN26P42</t>
  </si>
  <si>
    <t>AMB0000005184</t>
  </si>
  <si>
    <t>JOYITA DAS</t>
  </si>
  <si>
    <t>JD-1,2,3,4</t>
  </si>
  <si>
    <t>JDC</t>
  </si>
  <si>
    <t>PUNE</t>
  </si>
  <si>
    <t>NIRANJAN LAL</t>
  </si>
  <si>
    <t>DEC25P154</t>
  </si>
  <si>
    <t>ADB0000022179</t>
  </si>
  <si>
    <t>Vaishnavi GC ADL, [20-01-2026 18:01]
good evening sir, this sample needs to be kept on hold sir. the couple's karyotype is ongoing and they want to wait until that is completed
Dr. Anand Babu K, [20-01-2026 21:44]
Ok
Gayathri Genetics Coordinator ADL, [20-01-2026 19:27]
MAM,
PGT-A DONOT PROCESS THIS SAMPLE INFORMED BY VINEETH PRO
Gayathri Genetics Coordinator ADL, [20-01-2026 19:27]
@Dr_Anand_Babu_K Sir Kindly note
Good morning sir kindly start processing for PGT-A for Mrs. Haritha Rajan patient it has been billed as well</t>
  </si>
  <si>
    <t>HARITHA RAJAN</t>
  </si>
  <si>
    <t>HD1</t>
  </si>
  <si>
    <t>CREATE FERTILITY PVT LTD</t>
  </si>
  <si>
    <t>ASHWINI L S</t>
  </si>
  <si>
    <t>ADB0000022031</t>
  </si>
  <si>
    <t>Dr. Anand Babu K, [29-01-2026 18:42] 
Puja rani Swain, Please confirm the test. 
Anjana ADL, [30-01-2026 11:20] 
Puja rani Swain _ PGT A</t>
  </si>
  <si>
    <t>PUJA RANI SWAIN</t>
  </si>
  <si>
    <t>PS-1,2,3,4</t>
  </si>
  <si>
    <t>C1</t>
  </si>
  <si>
    <t>BELLEVUE CAMBRIDGE HOSPITAL &amp; INFERTILITY IVF CENTRE</t>
  </si>
  <si>
    <t>RAVI NISWAMI</t>
  </si>
  <si>
    <t>NOV25P189</t>
  </si>
  <si>
    <t>ADB0000021944</t>
  </si>
  <si>
    <t>SAHANA D</t>
  </si>
  <si>
    <t>SN1</t>
  </si>
  <si>
    <t>CONTROL</t>
  </si>
  <si>
    <t>SWATHI</t>
  </si>
  <si>
    <t>AND25720036965</t>
  </si>
  <si>
    <t>TIGIREDDY DEVI</t>
  </si>
  <si>
    <t>DT-1,2,3</t>
  </si>
  <si>
    <t>VISAKHAPATNAM</t>
  </si>
  <si>
    <t>SRIKANTH DODDAVENI</t>
  </si>
  <si>
    <t>ADB0000021945</t>
  </si>
  <si>
    <t>RUHI NIGAR</t>
  </si>
  <si>
    <t>RP-1,2</t>
  </si>
  <si>
    <t>ADB0000021941</t>
  </si>
  <si>
    <t>PALLAVI G</t>
  </si>
  <si>
    <t>PK1</t>
  </si>
  <si>
    <t>VRIKSH FERTILITY CENTRE</t>
  </si>
  <si>
    <t>ANBU KUMAR</t>
  </si>
  <si>
    <t>ADB0000021942</t>
  </si>
  <si>
    <t>DEEPA DAMODARAN</t>
  </si>
  <si>
    <t>DB1</t>
  </si>
  <si>
    <t>AMB0000005224</t>
  </si>
  <si>
    <t>JYOTI TIWANI</t>
  </si>
  <si>
    <t>AMB0000005220</t>
  </si>
  <si>
    <t>IFASHA ZAHIR</t>
  </si>
  <si>
    <t>IZ1</t>
  </si>
  <si>
    <t>IZ.</t>
  </si>
  <si>
    <t>YAAMI FERTILITY CENTRE</t>
  </si>
  <si>
    <t>INDORE</t>
  </si>
  <si>
    <t>RITU GOUR</t>
  </si>
  <si>
    <t>DCC0000002458</t>
  </si>
  <si>
    <t>NEHA SHARMA</t>
  </si>
  <si>
    <t>NSS-1,2,3,4,5</t>
  </si>
  <si>
    <t>NSSC-1,2,3,4,5</t>
  </si>
  <si>
    <t>BIRLA FERTILITY CENTRE</t>
  </si>
  <si>
    <t>NOIDA</t>
  </si>
  <si>
    <t>GAURAV KUMAR</t>
  </si>
  <si>
    <t>DCC0000002453</t>
  </si>
  <si>
    <t>KHUSHBOO CHAWLA</t>
  </si>
  <si>
    <t>KR1</t>
  </si>
  <si>
    <t>KRC</t>
  </si>
  <si>
    <t>AMB0000005329</t>
  </si>
  <si>
    <t>ZEBA IDRIS KHAN</t>
  </si>
  <si>
    <t>ZK1</t>
  </si>
  <si>
    <t>ZKC.</t>
  </si>
  <si>
    <t>AURANGABAD</t>
  </si>
  <si>
    <t>SUNIL RITHE</t>
  </si>
  <si>
    <t>AMB0000005330</t>
  </si>
  <si>
    <t>GIRIJA RAMESHWAR JADHAV</t>
  </si>
  <si>
    <t>GR-1,2,3</t>
  </si>
  <si>
    <t>GRC.</t>
  </si>
  <si>
    <t>AND25420006779</t>
  </si>
  <si>
    <t>JONNALA MYTHIRI</t>
  </si>
  <si>
    <t>AND25720036966</t>
  </si>
  <si>
    <t>DIVYA JAIVIGNESH</t>
  </si>
  <si>
    <t>DJ-1,2</t>
  </si>
  <si>
    <t>Women’s Center by Motherhood Fertility &amp; IVF</t>
  </si>
  <si>
    <t>COIMBATORE</t>
  </si>
  <si>
    <t>AMB0000005225</t>
  </si>
  <si>
    <t>HARSHADA JADHAWAR</t>
  </si>
  <si>
    <t>HS-1,2,3,4</t>
  </si>
  <si>
    <t>HSC</t>
  </si>
  <si>
    <t>CLOUDNINE HOSPITAL</t>
  </si>
  <si>
    <t>NIRANJANI</t>
  </si>
  <si>
    <t>AND251O0000120</t>
  </si>
  <si>
    <t>NIKITA POUDEL</t>
  </si>
  <si>
    <t>NP-1,2,3</t>
  </si>
  <si>
    <t>VATSALYA NATURAL IVF</t>
  </si>
  <si>
    <t>NEPAL</t>
  </si>
  <si>
    <t>AND25420006771</t>
  </si>
  <si>
    <t>LAKSHMI PRIYA</t>
  </si>
  <si>
    <t>LP-1,2,3,4</t>
  </si>
  <si>
    <t>LP1.</t>
  </si>
  <si>
    <t>AND251O0000123</t>
  </si>
  <si>
    <t>MANISHA GUSUNG</t>
  </si>
  <si>
    <t>MG-1,2,3</t>
  </si>
  <si>
    <t>AND251O0000126</t>
  </si>
  <si>
    <t>PABITRA SHRESTHA</t>
  </si>
  <si>
    <t>AND251O0000128</t>
  </si>
  <si>
    <t>SAMJHANA KATHEL</t>
  </si>
  <si>
    <t>SK-1</t>
  </si>
  <si>
    <t>AND251O0000129</t>
  </si>
  <si>
    <t>INDRA KUMARI GURUNG</t>
  </si>
  <si>
    <t>IKG-1,2</t>
  </si>
  <si>
    <t>AND251O0000131</t>
  </si>
  <si>
    <t>BEL MAYA KHAMCHA</t>
  </si>
  <si>
    <t>BMK-1,2</t>
  </si>
  <si>
    <t>AND251O0000133</t>
  </si>
  <si>
    <t>SAPANA PARAJULI</t>
  </si>
  <si>
    <t>SP-1,2</t>
  </si>
  <si>
    <t>AND251O0000135</t>
  </si>
  <si>
    <t>DRISTI SHARMA</t>
  </si>
  <si>
    <t>DS-1,2,3,4</t>
  </si>
  <si>
    <t>AND25630004656</t>
  </si>
  <si>
    <t>AARTHI</t>
  </si>
  <si>
    <t>AK-1,2,3,4</t>
  </si>
  <si>
    <t>NC-1,2,3,4</t>
  </si>
  <si>
    <t>BHARATI FERTILITY CENTRE</t>
  </si>
  <si>
    <t>VENKATRAMAN</t>
  </si>
  <si>
    <t>AND25630004648</t>
  </si>
  <si>
    <t>RAJESHWARI</t>
  </si>
  <si>
    <t>RD-1,3,5,6,8</t>
  </si>
  <si>
    <t>RDD5B</t>
  </si>
  <si>
    <t>FAHIRA ROSHMAN</t>
  </si>
  <si>
    <t>AND25630004665</t>
  </si>
  <si>
    <t>KAVITHA C</t>
  </si>
  <si>
    <t>LAVANYA_SEKAR</t>
  </si>
  <si>
    <t>R_DEEPALAKSHMI</t>
  </si>
  <si>
    <t>SMT_SUJATA_SHRIPAL</t>
  </si>
  <si>
    <t>PURNIMA_JAIN</t>
  </si>
  <si>
    <t>SUBHRA_MANE</t>
  </si>
  <si>
    <t>ANJALI_TANEJA</t>
  </si>
  <si>
    <t>VENKATA_KIRANMAI</t>
  </si>
  <si>
    <t>SINDHU_R</t>
  </si>
  <si>
    <t>DOODEKULA_SHAREEFA</t>
  </si>
  <si>
    <t>AMRITA_BANGA</t>
  </si>
  <si>
    <t>KHUSHBOO_RAI</t>
  </si>
  <si>
    <t>JOYITA_DAS</t>
  </si>
  <si>
    <t>HARITHA_RAJAN</t>
  </si>
  <si>
    <t>PUJA_RANI_SWAIN</t>
  </si>
  <si>
    <t>SAHANA_D</t>
  </si>
  <si>
    <t>TIGIREDDY_DEVI</t>
  </si>
  <si>
    <t>RUHI_NIGAR</t>
  </si>
  <si>
    <t>PALLAVI_G</t>
  </si>
  <si>
    <t>DEEPA_DAMODARAN</t>
  </si>
  <si>
    <t>KAVITHA_C</t>
  </si>
  <si>
    <t>DRISTI_SHARMA</t>
  </si>
  <si>
    <t>SAPANA_PARAJULI</t>
  </si>
  <si>
    <t>BEL_MAYA_KHAMCHA</t>
  </si>
  <si>
    <t>INDRA_KUMARI_GURUNG</t>
  </si>
  <si>
    <t>SAMJHANA_KATHEL</t>
  </si>
  <si>
    <t>PABITRA_SHRESTHA</t>
  </si>
  <si>
    <t>MANISHA_GUSUNG</t>
  </si>
  <si>
    <t>LAKSHMI_PRIYA</t>
  </si>
  <si>
    <t>NIKITA_POUDEL</t>
  </si>
  <si>
    <t>HARSHADA_JADHAWAR</t>
  </si>
  <si>
    <t>DIVYA_JAIVIGNESH</t>
  </si>
  <si>
    <t>JONNALA_MYTHIRI</t>
  </si>
  <si>
    <t>GIRIJA_RAMESHWAR_JADHAV</t>
  </si>
  <si>
    <t>ZEBA_IDRIS_KHAN</t>
  </si>
  <si>
    <t>KHUSHBOO_CHAWLA</t>
  </si>
  <si>
    <t>NEHA_SHARMA</t>
  </si>
  <si>
    <t>IFASHA_ZAHIR</t>
  </si>
  <si>
    <t>JYOTI_TIWANI</t>
  </si>
  <si>
    <t>MOSAIC GAIN SEX (52%), MULTIPLE MOSAIC</t>
  </si>
  <si>
    <t>AUTOSOMES</t>
  </si>
  <si>
    <t>SEX</t>
  </si>
  <si>
    <t>MOSAIC GAIN (52%)</t>
  </si>
  <si>
    <t>del(1)(q21.1q44)(~104.75Mb,~42%),+22(~51%)</t>
  </si>
  <si>
    <t>MOSAIC GAIN (36%)</t>
  </si>
  <si>
    <t>Normal</t>
  </si>
  <si>
    <t>MOSAIC GAIN (46%)</t>
  </si>
  <si>
    <t>+22(~46%)</t>
  </si>
  <si>
    <t>MOSAIC GAIN (42%)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</si>
</sst>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202020"/>
      <name val="Roboto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7EE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4" fillId="0" borderId="1" xfId="0" applyFont="1" applyBorder="1"/>
    <xf numFmtId="0" fontId="0" fillId="7" borderId="0" xfId="0" applyFill="1" applyAlignment="1">
      <alignment wrapText="1"/>
    </xf>
    <xf numFmtId="0" fontId="5" fillId="5" borderId="3" xfId="0" applyFont="1" applyFill="1" applyBorder="1"/>
    <xf numFmtId="0" fontId="0" fillId="0" borderId="0" xfId="0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/>
    </xf>
    <xf numFmtId="0" fontId="0" fillId="0" borderId="5" xfId="0" applyBorder="1"/>
    <xf numFmtId="0" fontId="7" fillId="0" borderId="0" xfId="0" applyFont="1"/>
    <xf numFmtId="0" fontId="0" fillId="0" borderId="0" xfId="0" applyAlignment="1">
      <alignment horizontal="center"/>
    </xf>
    <xf numFmtId="0" fontId="1" fillId="8" borderId="6" xfId="0" applyFont="1" applyFill="1" applyBorder="1"/>
    <xf numFmtId="0" fontId="1" fillId="8" borderId="6" xfId="0" applyFont="1" applyFill="1" applyBorder="1" applyAlignment="1">
      <alignment wrapText="1"/>
    </xf>
    <xf numFmtId="0" fontId="3" fillId="8" borderId="6" xfId="0" applyFont="1" applyFill="1" applyBorder="1"/>
    <xf numFmtId="0" fontId="3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/>
    <xf numFmtId="0" fontId="8" fillId="5" borderId="2" xfId="7" applyFill="1" applyBorder="1" applyAlignment="1">
      <alignment horizontal="center"/>
    </xf>
    <xf numFmtId="0" fontId="5" fillId="5" borderId="3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6" fillId="5" borderId="3" xfId="0" applyFont="1" applyFill="1" applyBorder="1"/>
    <xf numFmtId="0" fontId="5" fillId="5" borderId="4" xfId="0" applyFont="1" applyFill="1" applyBorder="1" applyAlignment="1">
      <alignment horizontal="center"/>
    </xf>
    <xf numFmtId="0" fontId="0" fillId="9" borderId="0" xfId="0" applyFill="1"/>
    <xf numFmtId="0" fontId="7" fillId="9" borderId="0" xfId="0" applyFont="1" applyFill="1"/>
    <xf numFmtId="0" fontId="0" fillId="10" borderId="0" xfId="0" applyFill="1"/>
    <xf numFmtId="0" fontId="0" fillId="0" borderId="6" xfId="0" applyBorder="1"/>
    <xf numFmtId="0" fontId="0" fillId="10" borderId="6" xfId="0" applyFill="1" applyBorder="1"/>
    <xf numFmtId="0" fontId="7" fillId="10" borderId="6" xfId="0" applyFont="1" applyFill="1" applyBorder="1"/>
    <xf numFmtId="0" fontId="4" fillId="11" borderId="1" xfId="0" applyFont="1" applyFill="1" applyBorder="1"/>
    <xf numFmtId="0" fontId="4" fillId="0" borderId="6" xfId="0" applyFont="1" applyBorder="1" applyAlignment="1">
      <alignment horizontal="right"/>
    </xf>
    <xf numFmtId="0" fontId="4" fillId="0" borderId="6" xfId="0" applyFont="1" applyBorder="1"/>
    <xf numFmtId="0" fontId="4" fillId="11" borderId="6" xfId="0" applyFont="1" applyFill="1" applyBorder="1"/>
    <xf numFmtId="0" fontId="4" fillId="0" borderId="6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0" fontId="4" fillId="11" borderId="6" xfId="0" applyFont="1" applyFill="1" applyBorder="1" applyAlignment="1">
      <alignment wrapText="1"/>
    </xf>
    <xf numFmtId="14" fontId="4" fillId="0" borderId="1" xfId="0" applyNumberFormat="1" applyFont="1" applyBorder="1"/>
    <xf numFmtId="0" fontId="11" fillId="11" borderId="1" xfId="0" applyFont="1" applyFill="1" applyBorder="1"/>
    <xf numFmtId="14" fontId="4" fillId="11" borderId="1" xfId="0" applyNumberFormat="1" applyFont="1" applyFill="1" applyBorder="1"/>
    <xf numFmtId="0" fontId="4" fillId="11" borderId="1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10" borderId="6" xfId="0" applyFill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0" fontId="0" fillId="9" borderId="0" xfId="0" applyFill="1" applyAlignment="1">
      <alignment wrapText="1"/>
    </xf>
    <xf numFmtId="49" fontId="0" fillId="0" borderId="0" xfId="0" applyNumberFormat="1" applyAlignment="1">
      <alignment wrapText="1"/>
    </xf>
    <xf numFmtId="0" fontId="5" fillId="5" borderId="3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11" borderId="1" xfId="0" applyFont="1" applyFill="1" applyBorder="1" applyAlignment="1">
      <alignment wrapText="1"/>
    </xf>
    <xf numFmtId="0" fontId="4" fillId="3" borderId="1" xfId="0" applyFont="1" applyFill="1" applyBorder="1"/>
    <xf numFmtId="0" fontId="4" fillId="2" borderId="1" xfId="0" applyFont="1" applyFill="1" applyBorder="1"/>
    <xf numFmtId="0" fontId="4" fillId="12" borderId="1" xfId="0" applyFont="1" applyFill="1" applyBorder="1"/>
    <xf numFmtId="0" fontId="4" fillId="7" borderId="1" xfId="0" applyFont="1" applyFill="1" applyBorder="1"/>
  </cellXfs>
  <cellStyles count="8">
    <cellStyle name="Hyperlink" xfId="7" builtinId="8"/>
    <cellStyle name="Normal" xfId="0" builtinId="0"/>
    <cellStyle name="Normal 2 2" xfId="1" xr:uid="{92E9A0BC-D0E0-486A-858A-D2BCFD11B23C}"/>
    <cellStyle name="Normal 3 2" xfId="2" xr:uid="{50DE1AB5-8EDC-417C-9211-8FEBEE41CFAD}"/>
    <cellStyle name="Normal 4 2" xfId="3" xr:uid="{A190F956-6CC3-4067-977C-049433C16705}"/>
    <cellStyle name="Normal 5 2" xfId="4" xr:uid="{0888B1B0-96D0-4A07-B3A1-D6DB5A921E27}"/>
    <cellStyle name="Normal 6 2" xfId="5" xr:uid="{C96D930F-F9FA-4017-A5A7-9379ED5AF297}"/>
    <cellStyle name="Normal 7 2" xfId="6" xr:uid="{60BB97BF-CD2D-4151-96D5-DD9847E6CCF4}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1"/>
  <sheetViews>
    <sheetView topLeftCell="B120" zoomScale="85" zoomScaleNormal="85" workbookViewId="0">
      <selection activeCell="P19" sqref="P19"/>
    </sheetView>
  </sheetViews>
  <sheetFormatPr defaultRowHeight="15" x14ac:dyDescent="0.25"/>
  <cols>
    <col min="1" max="1" width="29.28515625" customWidth="1"/>
    <col min="2" max="2" width="19" customWidth="1"/>
    <col min="4" max="4" width="18.28515625" customWidth="1"/>
    <col min="6" max="6" width="62.28515625" style="2" customWidth="1"/>
    <col min="7" max="7" width="55.28515625" style="2" customWidth="1"/>
    <col min="8" max="8" width="26" style="13" customWidth="1"/>
    <col min="15" max="15" width="54.7109375" customWidth="1"/>
  </cols>
  <sheetData>
    <row r="1" spans="1:16" x14ac:dyDescent="0.25">
      <c r="A1" s="1"/>
      <c r="B1" s="1"/>
    </row>
    <row r="2" spans="1:16" x14ac:dyDescent="0.25">
      <c r="G2" s="2" t="s">
        <v>6</v>
      </c>
    </row>
    <row r="3" spans="1:16" x14ac:dyDescent="0.25">
      <c r="G3" s="3" t="s">
        <v>7</v>
      </c>
    </row>
    <row r="4" spans="1:16" x14ac:dyDescent="0.25">
      <c r="G4" s="4" t="s">
        <v>8</v>
      </c>
    </row>
    <row r="5" spans="1:16" x14ac:dyDescent="0.25">
      <c r="G5" s="7" t="s">
        <v>42</v>
      </c>
    </row>
    <row r="6" spans="1:16" x14ac:dyDescent="0.25">
      <c r="G6" s="5" t="s">
        <v>41</v>
      </c>
    </row>
    <row r="13" spans="1:16" x14ac:dyDescent="0.25">
      <c r="A13" s="1" t="s">
        <v>0</v>
      </c>
      <c r="B13" s="1"/>
    </row>
    <row r="14" spans="1:16" s="15" customFormat="1" x14ac:dyDescent="0.25">
      <c r="A14" s="15" t="s">
        <v>1</v>
      </c>
      <c r="B14" s="15" t="s">
        <v>26</v>
      </c>
      <c r="C14" s="15" t="s">
        <v>2</v>
      </c>
      <c r="D14" s="15" t="s">
        <v>3</v>
      </c>
      <c r="E14" s="15" t="s">
        <v>43</v>
      </c>
      <c r="F14" s="16" t="s">
        <v>4</v>
      </c>
      <c r="G14" s="16" t="s">
        <v>44</v>
      </c>
      <c r="H14" s="17" t="s">
        <v>5</v>
      </c>
      <c r="I14" s="15" t="s">
        <v>12</v>
      </c>
      <c r="J14" s="15" t="s">
        <v>14</v>
      </c>
      <c r="K14" s="15" t="s">
        <v>9</v>
      </c>
      <c r="L14" s="15" t="s">
        <v>10</v>
      </c>
      <c r="M14" s="15" t="s">
        <v>11</v>
      </c>
      <c r="N14" s="15" t="s">
        <v>13</v>
      </c>
      <c r="O14" s="15" t="s">
        <v>601</v>
      </c>
      <c r="P14" s="15" t="s">
        <v>602</v>
      </c>
    </row>
    <row r="15" spans="1:16" x14ac:dyDescent="0.25">
      <c r="A15" t="s">
        <v>55</v>
      </c>
      <c r="B15" t="s">
        <v>233</v>
      </c>
      <c r="C15" t="s">
        <v>56</v>
      </c>
      <c r="D15" t="s">
        <v>57</v>
      </c>
      <c r="E15" t="s">
        <v>58</v>
      </c>
      <c r="F15" s="47" t="s">
        <v>59</v>
      </c>
      <c r="G15" s="2" t="s">
        <v>59</v>
      </c>
      <c r="H15" s="13" t="s">
        <v>252</v>
      </c>
      <c r="I15">
        <v>23.6</v>
      </c>
      <c r="J15">
        <v>3546249</v>
      </c>
      <c r="K15">
        <v>6.7000000000000004E-2</v>
      </c>
      <c r="L15">
        <v>5.6726663648559397E-2</v>
      </c>
      <c r="M15">
        <v>4.1027688420933302E-2</v>
      </c>
      <c r="N15">
        <v>3.3335360471489398E-2</v>
      </c>
      <c r="O15" s="2" t="s">
        <v>59</v>
      </c>
      <c r="P15" t="s">
        <v>606</v>
      </c>
    </row>
    <row r="16" spans="1:16" x14ac:dyDescent="0.25">
      <c r="A16" t="s">
        <v>60</v>
      </c>
      <c r="B16" t="s">
        <v>233</v>
      </c>
      <c r="C16" t="s">
        <v>56</v>
      </c>
      <c r="D16" t="s">
        <v>61</v>
      </c>
      <c r="E16" t="s">
        <v>62</v>
      </c>
      <c r="F16" t="s">
        <v>63</v>
      </c>
      <c r="G16" t="s">
        <v>63</v>
      </c>
      <c r="H16" s="13" t="s">
        <v>317</v>
      </c>
      <c r="I16">
        <v>28</v>
      </c>
      <c r="J16">
        <v>3316429</v>
      </c>
      <c r="K16">
        <v>8.6999999999999994E-2</v>
      </c>
      <c r="L16">
        <v>7.9545725925120297E-2</v>
      </c>
      <c r="M16">
        <v>3.07899949767532E-2</v>
      </c>
      <c r="N16">
        <v>1.7793237082073501E-2</v>
      </c>
      <c r="O16" s="2" t="s">
        <v>606</v>
      </c>
      <c r="P16" t="s">
        <v>606</v>
      </c>
    </row>
    <row r="17" spans="1:16" x14ac:dyDescent="0.25">
      <c r="A17" t="s">
        <v>64</v>
      </c>
      <c r="B17" t="s">
        <v>233</v>
      </c>
      <c r="C17" t="s">
        <v>56</v>
      </c>
      <c r="D17" t="s">
        <v>61</v>
      </c>
      <c r="E17" t="s">
        <v>62</v>
      </c>
      <c r="F17" t="s">
        <v>63</v>
      </c>
      <c r="G17" t="s">
        <v>63</v>
      </c>
      <c r="H17" s="13" t="s">
        <v>317</v>
      </c>
      <c r="I17">
        <v>32</v>
      </c>
      <c r="J17">
        <v>4049086</v>
      </c>
      <c r="K17">
        <v>7.4999999999999997E-2</v>
      </c>
      <c r="L17">
        <v>7.0351133492072601E-2</v>
      </c>
      <c r="M17">
        <v>5.9442963298907997E-2</v>
      </c>
      <c r="N17">
        <v>4.7863066313405998E-2</v>
      </c>
      <c r="O17" s="2" t="s">
        <v>606</v>
      </c>
      <c r="P17" t="s">
        <v>606</v>
      </c>
    </row>
    <row r="18" spans="1:16" x14ac:dyDescent="0.25">
      <c r="A18" t="s">
        <v>65</v>
      </c>
      <c r="B18" t="s">
        <v>233</v>
      </c>
      <c r="C18" t="s">
        <v>56</v>
      </c>
      <c r="D18" t="s">
        <v>57</v>
      </c>
      <c r="E18" t="s">
        <v>62</v>
      </c>
      <c r="F18" s="47" t="s">
        <v>66</v>
      </c>
      <c r="G18" s="2" t="s">
        <v>249</v>
      </c>
      <c r="H18" s="13" t="s">
        <v>254</v>
      </c>
      <c r="I18">
        <v>38.700000000000003</v>
      </c>
      <c r="J18">
        <v>4160761</v>
      </c>
      <c r="K18">
        <v>8.4000000000000005E-2</v>
      </c>
      <c r="L18">
        <v>7.78628226973654E-2</v>
      </c>
      <c r="M18">
        <v>6.6533931441067104E-2</v>
      </c>
      <c r="N18">
        <v>4.1607648925768001E-2</v>
      </c>
      <c r="O18" s="2" t="s">
        <v>249</v>
      </c>
      <c r="P18" t="s">
        <v>606</v>
      </c>
    </row>
    <row r="19" spans="1:16" x14ac:dyDescent="0.25">
      <c r="A19" t="s">
        <v>67</v>
      </c>
      <c r="B19" t="s">
        <v>233</v>
      </c>
      <c r="C19" t="s">
        <v>56</v>
      </c>
      <c r="D19" t="s">
        <v>68</v>
      </c>
      <c r="E19" t="s">
        <v>69</v>
      </c>
      <c r="F19" s="2" t="s">
        <v>70</v>
      </c>
      <c r="G19" s="47" t="s">
        <v>248</v>
      </c>
      <c r="H19" s="13" t="s">
        <v>600</v>
      </c>
      <c r="I19">
        <v>51.7</v>
      </c>
      <c r="J19">
        <v>4755140</v>
      </c>
      <c r="K19">
        <v>0.107</v>
      </c>
      <c r="L19">
        <v>0.109792975698791</v>
      </c>
      <c r="M19">
        <v>0.113058688225185</v>
      </c>
      <c r="N19">
        <v>4.8227902700477401E-2</v>
      </c>
      <c r="O19" s="2" t="s">
        <v>604</v>
      </c>
      <c r="P19" t="s">
        <v>603</v>
      </c>
    </row>
    <row r="20" spans="1:16" x14ac:dyDescent="0.25">
      <c r="A20" t="s">
        <v>71</v>
      </c>
      <c r="B20" t="s">
        <v>233</v>
      </c>
      <c r="C20" t="s">
        <v>56</v>
      </c>
      <c r="D20" t="s">
        <v>68</v>
      </c>
      <c r="E20" t="s">
        <v>62</v>
      </c>
      <c r="F20" s="2" t="s">
        <v>72</v>
      </c>
      <c r="G20" s="47" t="s">
        <v>247</v>
      </c>
      <c r="H20" s="13" t="s">
        <v>278</v>
      </c>
      <c r="I20">
        <v>165</v>
      </c>
      <c r="J20">
        <v>1005931</v>
      </c>
      <c r="K20">
        <v>0.13900000000000001</v>
      </c>
      <c r="L20">
        <v>0.116418894551214</v>
      </c>
      <c r="M20">
        <v>8.7094872807745194E-2</v>
      </c>
      <c r="N20">
        <v>5.6676633824057798E-2</v>
      </c>
      <c r="O20" s="2" t="s">
        <v>72</v>
      </c>
      <c r="P20" t="s">
        <v>606</v>
      </c>
    </row>
    <row r="21" spans="1:16" x14ac:dyDescent="0.25">
      <c r="A21" t="s">
        <v>73</v>
      </c>
      <c r="B21" t="s">
        <v>233</v>
      </c>
      <c r="C21" t="s">
        <v>56</v>
      </c>
      <c r="D21" t="s">
        <v>57</v>
      </c>
      <c r="E21" t="s">
        <v>62</v>
      </c>
      <c r="F21" s="47" t="s">
        <v>74</v>
      </c>
      <c r="G21" s="2" t="s">
        <v>246</v>
      </c>
      <c r="H21" s="13" t="s">
        <v>255</v>
      </c>
      <c r="I21">
        <v>42.4</v>
      </c>
      <c r="J21">
        <v>2438665</v>
      </c>
      <c r="K21">
        <v>0.129</v>
      </c>
      <c r="L21">
        <v>0.111568721109378</v>
      </c>
      <c r="M21">
        <v>5.4526194495882002E-2</v>
      </c>
      <c r="N21">
        <v>3.6165596299117801E-2</v>
      </c>
      <c r="O21" s="2" t="s">
        <v>246</v>
      </c>
      <c r="P21" t="s">
        <v>606</v>
      </c>
    </row>
    <row r="22" spans="1:16" ht="30" x14ac:dyDescent="0.25">
      <c r="A22" t="s">
        <v>75</v>
      </c>
      <c r="B22" t="s">
        <v>233</v>
      </c>
      <c r="C22" t="s">
        <v>56</v>
      </c>
      <c r="D22" t="s">
        <v>57</v>
      </c>
      <c r="E22" t="s">
        <v>62</v>
      </c>
      <c r="F22" s="47" t="s">
        <v>76</v>
      </c>
      <c r="G22" s="2" t="s">
        <v>245</v>
      </c>
      <c r="H22" s="13" t="s">
        <v>256</v>
      </c>
      <c r="I22">
        <v>57.1</v>
      </c>
      <c r="J22">
        <v>1331939</v>
      </c>
      <c r="K22">
        <v>9.8000000000000004E-2</v>
      </c>
      <c r="L22">
        <v>8.1101869931299198E-2</v>
      </c>
      <c r="M22">
        <v>8.8370884957947704E-2</v>
      </c>
      <c r="N22">
        <v>4.2460220513099702E-2</v>
      </c>
      <c r="O22" s="2" t="s">
        <v>245</v>
      </c>
      <c r="P22" t="s">
        <v>606</v>
      </c>
    </row>
    <row r="23" spans="1:16" s="27" customFormat="1" x14ac:dyDescent="0.25">
      <c r="A23" s="27" t="s">
        <v>77</v>
      </c>
      <c r="B23" s="27" t="s">
        <v>233</v>
      </c>
      <c r="C23" s="27" t="s">
        <v>78</v>
      </c>
      <c r="D23" s="27" t="s">
        <v>79</v>
      </c>
      <c r="E23" s="27" t="s">
        <v>80</v>
      </c>
      <c r="F23" s="27" t="s">
        <v>80</v>
      </c>
      <c r="G23" s="27" t="s">
        <v>80</v>
      </c>
      <c r="H23" s="28" t="s">
        <v>292</v>
      </c>
      <c r="I23" s="27">
        <v>0</v>
      </c>
      <c r="J23" s="27">
        <v>7</v>
      </c>
      <c r="K23" s="27">
        <v>2</v>
      </c>
      <c r="L23" s="27">
        <v>2</v>
      </c>
      <c r="M23" s="27">
        <v>3.12384378610711</v>
      </c>
      <c r="N23" s="27">
        <v>2</v>
      </c>
      <c r="O23" s="48" t="s">
        <v>80</v>
      </c>
      <c r="P23" s="27" t="s">
        <v>79</v>
      </c>
    </row>
    <row r="24" spans="1:16" s="27" customFormat="1" x14ac:dyDescent="0.25">
      <c r="A24" s="27" t="s">
        <v>81</v>
      </c>
      <c r="B24" s="27" t="s">
        <v>233</v>
      </c>
      <c r="C24" s="27" t="s">
        <v>78</v>
      </c>
      <c r="D24" s="27" t="s">
        <v>79</v>
      </c>
      <c r="E24" s="27" t="s">
        <v>80</v>
      </c>
      <c r="F24" s="27" t="s">
        <v>80</v>
      </c>
      <c r="G24" s="27" t="s">
        <v>80</v>
      </c>
      <c r="H24" s="28" t="s">
        <v>292</v>
      </c>
      <c r="I24" s="27">
        <v>3000.4</v>
      </c>
      <c r="J24" s="27">
        <v>55</v>
      </c>
      <c r="K24" s="27">
        <v>2</v>
      </c>
      <c r="L24" s="27">
        <v>2</v>
      </c>
      <c r="M24" s="27">
        <v>0.82090306389842704</v>
      </c>
      <c r="N24" s="27">
        <v>2</v>
      </c>
      <c r="O24" s="48" t="s">
        <v>80</v>
      </c>
      <c r="P24" s="27" t="s">
        <v>79</v>
      </c>
    </row>
    <row r="25" spans="1:16" x14ac:dyDescent="0.25">
      <c r="A25" t="s">
        <v>82</v>
      </c>
      <c r="B25" t="s">
        <v>233</v>
      </c>
      <c r="C25" t="s">
        <v>56</v>
      </c>
      <c r="D25" t="s">
        <v>68</v>
      </c>
      <c r="E25" t="s">
        <v>62</v>
      </c>
      <c r="F25" s="2" t="s">
        <v>83</v>
      </c>
      <c r="G25" s="47" t="s">
        <v>63</v>
      </c>
      <c r="H25" s="13" t="s">
        <v>279</v>
      </c>
      <c r="I25">
        <v>48.8</v>
      </c>
      <c r="J25">
        <v>2675675</v>
      </c>
      <c r="K25">
        <v>8.1000000000000003E-2</v>
      </c>
      <c r="L25">
        <v>6.4624025024356102E-2</v>
      </c>
      <c r="M25">
        <v>9.8309043604796597E-3</v>
      </c>
      <c r="N25">
        <v>1.15100947836227E-2</v>
      </c>
      <c r="O25" s="2" t="s">
        <v>83</v>
      </c>
      <c r="P25" t="s">
        <v>606</v>
      </c>
    </row>
    <row r="26" spans="1:16" x14ac:dyDescent="0.25">
      <c r="A26" t="s">
        <v>84</v>
      </c>
      <c r="B26" t="s">
        <v>233</v>
      </c>
      <c r="C26" t="s">
        <v>56</v>
      </c>
      <c r="D26" t="s">
        <v>61</v>
      </c>
      <c r="E26" t="s">
        <v>62</v>
      </c>
      <c r="F26" t="s">
        <v>63</v>
      </c>
      <c r="G26" t="s">
        <v>63</v>
      </c>
      <c r="H26" s="13" t="s">
        <v>317</v>
      </c>
      <c r="I26">
        <v>52.3</v>
      </c>
      <c r="J26">
        <v>2990255</v>
      </c>
      <c r="K26">
        <v>7.1999999999999995E-2</v>
      </c>
      <c r="L26">
        <v>5.6331635344115102E-2</v>
      </c>
      <c r="M26">
        <v>1.27488653590026E-2</v>
      </c>
      <c r="N26">
        <v>1.4039769883697E-2</v>
      </c>
      <c r="O26" s="2" t="s">
        <v>606</v>
      </c>
      <c r="P26" t="s">
        <v>606</v>
      </c>
    </row>
    <row r="27" spans="1:16" x14ac:dyDescent="0.25">
      <c r="A27" t="s">
        <v>85</v>
      </c>
      <c r="B27" t="s">
        <v>233</v>
      </c>
      <c r="C27" t="s">
        <v>56</v>
      </c>
      <c r="D27" t="s">
        <v>61</v>
      </c>
      <c r="E27" t="s">
        <v>58</v>
      </c>
      <c r="F27" t="s">
        <v>63</v>
      </c>
      <c r="G27" t="s">
        <v>63</v>
      </c>
      <c r="H27" s="13" t="s">
        <v>317</v>
      </c>
      <c r="I27">
        <v>44</v>
      </c>
      <c r="J27">
        <v>2374886</v>
      </c>
      <c r="K27">
        <v>6.9000000000000006E-2</v>
      </c>
      <c r="L27">
        <v>6.0327483235062797E-2</v>
      </c>
      <c r="M27">
        <v>1.53334071452746E-2</v>
      </c>
      <c r="N27">
        <v>1.5642883837923401E-2</v>
      </c>
      <c r="O27" s="2" t="s">
        <v>606</v>
      </c>
      <c r="P27" t="s">
        <v>606</v>
      </c>
    </row>
    <row r="28" spans="1:16" x14ac:dyDescent="0.25">
      <c r="A28" t="s">
        <v>86</v>
      </c>
      <c r="B28" t="s">
        <v>233</v>
      </c>
      <c r="C28" t="s">
        <v>56</v>
      </c>
      <c r="D28" t="s">
        <v>61</v>
      </c>
      <c r="E28" t="s">
        <v>62</v>
      </c>
      <c r="F28" t="s">
        <v>63</v>
      </c>
      <c r="G28" t="s">
        <v>63</v>
      </c>
      <c r="H28" s="13" t="s">
        <v>317</v>
      </c>
      <c r="I28">
        <v>116.1</v>
      </c>
      <c r="J28">
        <v>930179</v>
      </c>
      <c r="K28">
        <v>0.16400000000000001</v>
      </c>
      <c r="L28">
        <v>0.14239084459264101</v>
      </c>
      <c r="M28">
        <v>2.9300798550902299E-2</v>
      </c>
      <c r="N28">
        <v>3.2123148852965702E-2</v>
      </c>
      <c r="O28" s="2" t="s">
        <v>606</v>
      </c>
      <c r="P28" t="s">
        <v>606</v>
      </c>
    </row>
    <row r="29" spans="1:16" x14ac:dyDescent="0.25">
      <c r="A29" t="s">
        <v>87</v>
      </c>
      <c r="B29" t="s">
        <v>233</v>
      </c>
      <c r="C29" t="s">
        <v>56</v>
      </c>
      <c r="D29" t="s">
        <v>61</v>
      </c>
      <c r="E29" t="s">
        <v>58</v>
      </c>
      <c r="F29" t="s">
        <v>63</v>
      </c>
      <c r="G29" t="s">
        <v>63</v>
      </c>
      <c r="H29" s="13" t="s">
        <v>317</v>
      </c>
      <c r="I29">
        <v>33</v>
      </c>
      <c r="J29">
        <v>2410522</v>
      </c>
      <c r="K29">
        <v>0.108</v>
      </c>
      <c r="L29">
        <v>9.3340619202721103E-2</v>
      </c>
      <c r="M29">
        <v>6.23399280417051E-2</v>
      </c>
      <c r="N29">
        <v>4.87629911309619E-2</v>
      </c>
      <c r="O29" s="2" t="s">
        <v>606</v>
      </c>
      <c r="P29" t="s">
        <v>606</v>
      </c>
    </row>
    <row r="30" spans="1:16" x14ac:dyDescent="0.25">
      <c r="A30" t="s">
        <v>88</v>
      </c>
      <c r="B30" t="s">
        <v>233</v>
      </c>
      <c r="C30" t="s">
        <v>56</v>
      </c>
      <c r="D30" t="s">
        <v>57</v>
      </c>
      <c r="E30" t="s">
        <v>62</v>
      </c>
      <c r="F30" s="47" t="s">
        <v>89</v>
      </c>
      <c r="G30" s="2" t="s">
        <v>244</v>
      </c>
      <c r="H30" s="13" t="s">
        <v>257</v>
      </c>
      <c r="I30">
        <v>32.6</v>
      </c>
      <c r="J30">
        <v>1848223</v>
      </c>
      <c r="K30">
        <v>0.112</v>
      </c>
      <c r="L30">
        <v>9.5907294008406002E-2</v>
      </c>
      <c r="M30">
        <v>5.4672286789200303E-2</v>
      </c>
      <c r="N30">
        <v>1.8174558566231298E-2</v>
      </c>
      <c r="O30" s="2" t="s">
        <v>244</v>
      </c>
      <c r="P30" t="s">
        <v>606</v>
      </c>
    </row>
    <row r="31" spans="1:16" x14ac:dyDescent="0.25">
      <c r="A31" t="s">
        <v>90</v>
      </c>
      <c r="B31" t="s">
        <v>233</v>
      </c>
      <c r="C31" t="s">
        <v>56</v>
      </c>
      <c r="D31" t="s">
        <v>61</v>
      </c>
      <c r="E31" t="s">
        <v>62</v>
      </c>
      <c r="F31" t="s">
        <v>63</v>
      </c>
      <c r="G31" t="s">
        <v>63</v>
      </c>
      <c r="H31" s="13" t="s">
        <v>317</v>
      </c>
      <c r="I31">
        <v>66.400000000000006</v>
      </c>
      <c r="J31">
        <v>1449848</v>
      </c>
      <c r="K31">
        <v>0.106</v>
      </c>
      <c r="L31">
        <v>9.2279102228020604E-2</v>
      </c>
      <c r="M31">
        <v>2.9495149270772299E-2</v>
      </c>
      <c r="N31">
        <v>2.7036983098366201E-2</v>
      </c>
      <c r="O31" s="2" t="s">
        <v>606</v>
      </c>
      <c r="P31" t="s">
        <v>606</v>
      </c>
    </row>
    <row r="32" spans="1:16" x14ac:dyDescent="0.25">
      <c r="A32" t="s">
        <v>91</v>
      </c>
      <c r="B32" t="s">
        <v>233</v>
      </c>
      <c r="C32" t="s">
        <v>56</v>
      </c>
      <c r="D32" t="s">
        <v>61</v>
      </c>
      <c r="E32" t="s">
        <v>58</v>
      </c>
      <c r="F32" t="s">
        <v>63</v>
      </c>
      <c r="G32" t="s">
        <v>63</v>
      </c>
      <c r="H32" s="13" t="s">
        <v>317</v>
      </c>
      <c r="I32">
        <v>49.5</v>
      </c>
      <c r="J32">
        <v>962816</v>
      </c>
      <c r="K32">
        <v>0.105</v>
      </c>
      <c r="L32">
        <v>8.7705768975888707E-2</v>
      </c>
      <c r="M32">
        <v>2.2060542011058198E-2</v>
      </c>
      <c r="N32">
        <v>1.99465253825317E-2</v>
      </c>
      <c r="O32" s="2" t="s">
        <v>606</v>
      </c>
      <c r="P32" t="s">
        <v>606</v>
      </c>
    </row>
    <row r="33" spans="1:16" x14ac:dyDescent="0.25">
      <c r="A33" t="s">
        <v>92</v>
      </c>
      <c r="B33" t="s">
        <v>233</v>
      </c>
      <c r="C33" t="s">
        <v>56</v>
      </c>
      <c r="D33" t="s">
        <v>61</v>
      </c>
      <c r="E33" t="s">
        <v>58</v>
      </c>
      <c r="F33" t="s">
        <v>63</v>
      </c>
      <c r="G33" t="s">
        <v>63</v>
      </c>
      <c r="H33" s="13" t="s">
        <v>317</v>
      </c>
      <c r="I33">
        <v>60.5</v>
      </c>
      <c r="J33">
        <v>1457056</v>
      </c>
      <c r="K33">
        <v>0.104</v>
      </c>
      <c r="L33">
        <v>9.3792535071181501E-2</v>
      </c>
      <c r="M33">
        <v>7.3805611187967704E-2</v>
      </c>
      <c r="N33">
        <v>4.2715934912445901E-2</v>
      </c>
      <c r="O33" s="2" t="s">
        <v>606</v>
      </c>
      <c r="P33" t="s">
        <v>606</v>
      </c>
    </row>
    <row r="34" spans="1:16" x14ac:dyDescent="0.25">
      <c r="A34" t="s">
        <v>93</v>
      </c>
      <c r="B34" t="s">
        <v>233</v>
      </c>
      <c r="C34" t="s">
        <v>56</v>
      </c>
      <c r="D34" t="s">
        <v>61</v>
      </c>
      <c r="E34" t="s">
        <v>58</v>
      </c>
      <c r="F34" t="s">
        <v>63</v>
      </c>
      <c r="G34" t="s">
        <v>63</v>
      </c>
      <c r="H34" s="13" t="s">
        <v>317</v>
      </c>
      <c r="I34">
        <v>60.2</v>
      </c>
      <c r="J34">
        <v>891923</v>
      </c>
      <c r="K34">
        <v>0.13600000000000001</v>
      </c>
      <c r="L34">
        <v>0.12031274004055</v>
      </c>
      <c r="M34">
        <v>3.4755294368953103E-2</v>
      </c>
      <c r="N34">
        <v>2.9273556665463701E-2</v>
      </c>
      <c r="O34" s="2" t="s">
        <v>606</v>
      </c>
      <c r="P34" t="s">
        <v>606</v>
      </c>
    </row>
    <row r="35" spans="1:16" x14ac:dyDescent="0.25">
      <c r="A35" t="s">
        <v>94</v>
      </c>
      <c r="B35" t="s">
        <v>233</v>
      </c>
      <c r="C35" t="s">
        <v>56</v>
      </c>
      <c r="D35" t="s">
        <v>61</v>
      </c>
      <c r="E35" t="s">
        <v>62</v>
      </c>
      <c r="F35" t="s">
        <v>63</v>
      </c>
      <c r="G35" t="s">
        <v>63</v>
      </c>
      <c r="H35" s="13" t="s">
        <v>317</v>
      </c>
      <c r="I35">
        <v>49.2</v>
      </c>
      <c r="J35">
        <v>2268143</v>
      </c>
      <c r="K35">
        <v>8.8999999999999996E-2</v>
      </c>
      <c r="L35">
        <v>7.7242702072843505E-2</v>
      </c>
      <c r="M35">
        <v>3.1556513548439198E-2</v>
      </c>
      <c r="N35">
        <v>3.4327375045607303E-2</v>
      </c>
      <c r="O35" s="2" t="s">
        <v>606</v>
      </c>
      <c r="P35" t="s">
        <v>606</v>
      </c>
    </row>
    <row r="36" spans="1:16" x14ac:dyDescent="0.25">
      <c r="A36" t="s">
        <v>95</v>
      </c>
      <c r="B36" t="s">
        <v>233</v>
      </c>
      <c r="C36" t="s">
        <v>56</v>
      </c>
      <c r="D36" t="s">
        <v>61</v>
      </c>
      <c r="E36" t="s">
        <v>58</v>
      </c>
      <c r="F36" t="s">
        <v>63</v>
      </c>
      <c r="G36" t="s">
        <v>63</v>
      </c>
      <c r="H36" s="13" t="s">
        <v>317</v>
      </c>
      <c r="I36">
        <v>55.2</v>
      </c>
      <c r="J36">
        <v>1375768</v>
      </c>
      <c r="K36">
        <v>9.1999999999999998E-2</v>
      </c>
      <c r="L36">
        <v>7.64645230833884E-2</v>
      </c>
      <c r="M36">
        <v>1.9771354200057399E-2</v>
      </c>
      <c r="N36">
        <v>2.3348034572854101E-2</v>
      </c>
      <c r="O36" s="2" t="s">
        <v>606</v>
      </c>
      <c r="P36" t="s">
        <v>606</v>
      </c>
    </row>
    <row r="37" spans="1:16" x14ac:dyDescent="0.25">
      <c r="A37" t="s">
        <v>96</v>
      </c>
      <c r="B37" t="s">
        <v>233</v>
      </c>
      <c r="C37" t="s">
        <v>56</v>
      </c>
      <c r="D37" t="s">
        <v>61</v>
      </c>
      <c r="E37" t="s">
        <v>58</v>
      </c>
      <c r="F37" t="s">
        <v>63</v>
      </c>
      <c r="G37" t="s">
        <v>63</v>
      </c>
      <c r="H37" s="13" t="s">
        <v>317</v>
      </c>
      <c r="I37">
        <v>81.599999999999994</v>
      </c>
      <c r="J37">
        <v>820313</v>
      </c>
      <c r="K37">
        <v>0.17</v>
      </c>
      <c r="L37">
        <v>0.14050130787755999</v>
      </c>
      <c r="M37">
        <v>7.13032205040601E-2</v>
      </c>
      <c r="N37">
        <v>6.0538887370539099E-2</v>
      </c>
      <c r="O37" s="2" t="s">
        <v>606</v>
      </c>
      <c r="P37" t="s">
        <v>606</v>
      </c>
    </row>
    <row r="38" spans="1:16" x14ac:dyDescent="0.25">
      <c r="A38" t="s">
        <v>97</v>
      </c>
      <c r="B38" t="s">
        <v>233</v>
      </c>
      <c r="C38" t="s">
        <v>56</v>
      </c>
      <c r="D38" t="s">
        <v>68</v>
      </c>
      <c r="E38" t="s">
        <v>58</v>
      </c>
      <c r="F38" s="2" t="s">
        <v>98</v>
      </c>
      <c r="G38" s="47" t="s">
        <v>63</v>
      </c>
      <c r="H38" s="13" t="s">
        <v>279</v>
      </c>
      <c r="I38">
        <v>70.3</v>
      </c>
      <c r="J38">
        <v>989769</v>
      </c>
      <c r="K38">
        <v>9.8000000000000004E-2</v>
      </c>
      <c r="L38">
        <v>8.2504938945572495E-2</v>
      </c>
      <c r="M38">
        <v>1.9319324635867701E-2</v>
      </c>
      <c r="N38">
        <v>2.5196620651873499E-2</v>
      </c>
      <c r="O38" s="2" t="s">
        <v>98</v>
      </c>
      <c r="P38" t="s">
        <v>606</v>
      </c>
    </row>
    <row r="39" spans="1:16" x14ac:dyDescent="0.25">
      <c r="A39" t="s">
        <v>99</v>
      </c>
      <c r="B39" t="s">
        <v>233</v>
      </c>
      <c r="C39" t="s">
        <v>56</v>
      </c>
      <c r="D39" t="s">
        <v>68</v>
      </c>
      <c r="E39" t="s">
        <v>58</v>
      </c>
      <c r="F39" s="2" t="s">
        <v>100</v>
      </c>
      <c r="G39" s="47" t="s">
        <v>63</v>
      </c>
      <c r="H39" s="13" t="s">
        <v>280</v>
      </c>
      <c r="I39">
        <v>40.799999999999997</v>
      </c>
      <c r="J39">
        <v>2005460</v>
      </c>
      <c r="K39">
        <v>8.5000000000000006E-2</v>
      </c>
      <c r="L39">
        <v>7.4147701120057197E-2</v>
      </c>
      <c r="M39">
        <v>0.107635050459524</v>
      </c>
      <c r="N39">
        <v>9.80074306275871E-2</v>
      </c>
      <c r="O39" s="2" t="s">
        <v>100</v>
      </c>
      <c r="P39" t="s">
        <v>606</v>
      </c>
    </row>
    <row r="40" spans="1:16" x14ac:dyDescent="0.25">
      <c r="A40" t="s">
        <v>101</v>
      </c>
      <c r="B40" t="s">
        <v>233</v>
      </c>
      <c r="C40" t="s">
        <v>56</v>
      </c>
      <c r="D40" t="s">
        <v>61</v>
      </c>
      <c r="E40" t="s">
        <v>62</v>
      </c>
      <c r="F40" t="s">
        <v>63</v>
      </c>
      <c r="G40" t="s">
        <v>63</v>
      </c>
      <c r="H40" s="13" t="s">
        <v>317</v>
      </c>
      <c r="I40">
        <v>28</v>
      </c>
      <c r="J40">
        <v>1711349</v>
      </c>
      <c r="K40">
        <v>0.127</v>
      </c>
      <c r="L40">
        <v>0.105130934143705</v>
      </c>
      <c r="M40">
        <v>7.01475083280578E-2</v>
      </c>
      <c r="N40">
        <v>3.5789035114133401E-2</v>
      </c>
      <c r="O40" s="2" t="s">
        <v>606</v>
      </c>
      <c r="P40" t="s">
        <v>606</v>
      </c>
    </row>
    <row r="41" spans="1:16" x14ac:dyDescent="0.25">
      <c r="A41" t="s">
        <v>102</v>
      </c>
      <c r="B41" t="s">
        <v>233</v>
      </c>
      <c r="C41" t="s">
        <v>56</v>
      </c>
      <c r="D41" t="s">
        <v>61</v>
      </c>
      <c r="E41" t="s">
        <v>58</v>
      </c>
      <c r="F41" t="s">
        <v>63</v>
      </c>
      <c r="G41" t="s">
        <v>63</v>
      </c>
      <c r="H41" s="13" t="s">
        <v>317</v>
      </c>
      <c r="I41">
        <v>38.700000000000003</v>
      </c>
      <c r="J41">
        <v>1742165</v>
      </c>
      <c r="K41">
        <v>0.123</v>
      </c>
      <c r="L41">
        <v>0.10393536263870599</v>
      </c>
      <c r="M41">
        <v>4.7562440231250398E-2</v>
      </c>
      <c r="N41">
        <v>3.1551856345375301E-2</v>
      </c>
      <c r="O41" s="2" t="s">
        <v>606</v>
      </c>
      <c r="P41" t="s">
        <v>606</v>
      </c>
    </row>
    <row r="42" spans="1:16" x14ac:dyDescent="0.25">
      <c r="A42" t="s">
        <v>103</v>
      </c>
      <c r="B42" t="s">
        <v>233</v>
      </c>
      <c r="C42" t="s">
        <v>56</v>
      </c>
      <c r="D42" t="s">
        <v>68</v>
      </c>
      <c r="E42" t="s">
        <v>58</v>
      </c>
      <c r="F42" s="2" t="s">
        <v>104</v>
      </c>
      <c r="G42" s="47" t="s">
        <v>63</v>
      </c>
      <c r="H42" s="13" t="s">
        <v>278</v>
      </c>
      <c r="I42">
        <v>39.200000000000003</v>
      </c>
      <c r="J42">
        <v>2431920</v>
      </c>
      <c r="K42">
        <v>9.2999999999999999E-2</v>
      </c>
      <c r="L42">
        <v>7.8734218231752195E-2</v>
      </c>
      <c r="M42">
        <v>4.4410692937740699E-2</v>
      </c>
      <c r="N42">
        <v>3.3221188232624897E-2</v>
      </c>
      <c r="O42" s="2" t="s">
        <v>104</v>
      </c>
      <c r="P42" t="s">
        <v>606</v>
      </c>
    </row>
    <row r="43" spans="1:16" x14ac:dyDescent="0.25">
      <c r="A43" t="s">
        <v>105</v>
      </c>
      <c r="B43" t="s">
        <v>233</v>
      </c>
      <c r="C43" t="s">
        <v>56</v>
      </c>
      <c r="D43" t="s">
        <v>61</v>
      </c>
      <c r="E43" t="s">
        <v>62</v>
      </c>
      <c r="F43" t="s">
        <v>63</v>
      </c>
      <c r="G43" t="s">
        <v>63</v>
      </c>
      <c r="H43" s="13" t="s">
        <v>317</v>
      </c>
      <c r="I43">
        <v>66.400000000000006</v>
      </c>
      <c r="J43">
        <v>1772853</v>
      </c>
      <c r="K43">
        <v>0.126</v>
      </c>
      <c r="L43">
        <v>0.105515264129911</v>
      </c>
      <c r="M43">
        <v>2.7141945820845201E-2</v>
      </c>
      <c r="N43">
        <v>2.6849005144183102E-2</v>
      </c>
      <c r="O43" s="2" t="s">
        <v>606</v>
      </c>
      <c r="P43" t="s">
        <v>606</v>
      </c>
    </row>
    <row r="44" spans="1:16" x14ac:dyDescent="0.25">
      <c r="A44" t="s">
        <v>106</v>
      </c>
      <c r="B44" t="s">
        <v>233</v>
      </c>
      <c r="C44" t="s">
        <v>56</v>
      </c>
      <c r="D44" t="s">
        <v>61</v>
      </c>
      <c r="E44" t="s">
        <v>62</v>
      </c>
      <c r="F44" t="s">
        <v>63</v>
      </c>
      <c r="G44" t="s">
        <v>63</v>
      </c>
      <c r="H44" s="13" t="s">
        <v>317</v>
      </c>
      <c r="I44">
        <v>37</v>
      </c>
      <c r="J44">
        <v>2326006</v>
      </c>
      <c r="K44">
        <v>9.1999999999999998E-2</v>
      </c>
      <c r="L44">
        <v>7.4045374390585603E-2</v>
      </c>
      <c r="M44">
        <v>2.12947043379722E-2</v>
      </c>
      <c r="N44">
        <v>2.4581069230189202E-2</v>
      </c>
      <c r="O44" s="2" t="s">
        <v>606</v>
      </c>
      <c r="P44" t="s">
        <v>606</v>
      </c>
    </row>
    <row r="45" spans="1:16" x14ac:dyDescent="0.25">
      <c r="A45" t="s">
        <v>107</v>
      </c>
      <c r="B45" t="s">
        <v>233</v>
      </c>
      <c r="C45" t="s">
        <v>56</v>
      </c>
      <c r="D45" t="s">
        <v>61</v>
      </c>
      <c r="E45" t="s">
        <v>58</v>
      </c>
      <c r="F45" t="s">
        <v>63</v>
      </c>
      <c r="G45" t="s">
        <v>63</v>
      </c>
      <c r="H45" s="13" t="s">
        <v>317</v>
      </c>
      <c r="I45">
        <v>80.3</v>
      </c>
      <c r="J45">
        <v>921032</v>
      </c>
      <c r="K45">
        <v>0.122</v>
      </c>
      <c r="L45">
        <v>0.102152996917328</v>
      </c>
      <c r="M45">
        <v>6.0029472056549397E-2</v>
      </c>
      <c r="N45">
        <v>3.9015368282754398E-2</v>
      </c>
      <c r="O45" s="2" t="s">
        <v>606</v>
      </c>
      <c r="P45" t="s">
        <v>606</v>
      </c>
    </row>
    <row r="46" spans="1:16" x14ac:dyDescent="0.25">
      <c r="A46" t="s">
        <v>108</v>
      </c>
      <c r="B46" t="s">
        <v>233</v>
      </c>
      <c r="C46" t="s">
        <v>56</v>
      </c>
      <c r="D46" t="s">
        <v>61</v>
      </c>
      <c r="E46" t="s">
        <v>62</v>
      </c>
      <c r="F46" t="s">
        <v>63</v>
      </c>
      <c r="G46" t="s">
        <v>63</v>
      </c>
      <c r="H46" s="13" t="s">
        <v>317</v>
      </c>
      <c r="I46">
        <v>34.799999999999997</v>
      </c>
      <c r="J46">
        <v>2941953</v>
      </c>
      <c r="K46">
        <v>9.5000000000000001E-2</v>
      </c>
      <c r="L46">
        <v>7.9179981618324805E-2</v>
      </c>
      <c r="M46">
        <v>2.3421417365563399E-2</v>
      </c>
      <c r="N46">
        <v>2.1745297910774501E-2</v>
      </c>
      <c r="O46" s="2" t="s">
        <v>606</v>
      </c>
      <c r="P46" t="s">
        <v>606</v>
      </c>
    </row>
    <row r="47" spans="1:16" x14ac:dyDescent="0.25">
      <c r="A47" t="s">
        <v>109</v>
      </c>
      <c r="B47" t="s">
        <v>233</v>
      </c>
      <c r="C47" t="s">
        <v>56</v>
      </c>
      <c r="D47" t="s">
        <v>68</v>
      </c>
      <c r="E47" t="s">
        <v>58</v>
      </c>
      <c r="F47" s="2" t="s">
        <v>110</v>
      </c>
      <c r="G47" s="47" t="s">
        <v>63</v>
      </c>
      <c r="H47" s="13" t="s">
        <v>281</v>
      </c>
      <c r="I47">
        <v>50.9</v>
      </c>
      <c r="J47">
        <v>1711527</v>
      </c>
      <c r="K47">
        <v>0.10199999999999999</v>
      </c>
      <c r="L47">
        <v>9.0062601677566204E-2</v>
      </c>
      <c r="M47">
        <v>6.0249241517899801E-2</v>
      </c>
      <c r="N47">
        <v>3.6582768713484801E-2</v>
      </c>
      <c r="O47" s="2" t="s">
        <v>110</v>
      </c>
      <c r="P47" t="s">
        <v>606</v>
      </c>
    </row>
    <row r="48" spans="1:16" x14ac:dyDescent="0.25">
      <c r="A48" t="s">
        <v>111</v>
      </c>
      <c r="B48" t="s">
        <v>233</v>
      </c>
      <c r="C48" t="s">
        <v>56</v>
      </c>
      <c r="D48" t="s">
        <v>68</v>
      </c>
      <c r="E48" t="s">
        <v>112</v>
      </c>
      <c r="F48" s="2" t="s">
        <v>113</v>
      </c>
      <c r="G48" s="47" t="s">
        <v>63</v>
      </c>
      <c r="H48" s="13" t="s">
        <v>282</v>
      </c>
      <c r="I48">
        <v>32.200000000000003</v>
      </c>
      <c r="J48">
        <v>2138341</v>
      </c>
      <c r="K48">
        <v>0.109</v>
      </c>
      <c r="L48">
        <v>9.1351595728966201E-2</v>
      </c>
      <c r="M48">
        <v>3.4270352261611799E-2</v>
      </c>
      <c r="N48">
        <v>2.9475836563331598E-2</v>
      </c>
      <c r="O48" s="2" t="s">
        <v>606</v>
      </c>
      <c r="P48" s="13" t="s">
        <v>605</v>
      </c>
    </row>
    <row r="49" spans="1:16" x14ac:dyDescent="0.25">
      <c r="A49" t="s">
        <v>114</v>
      </c>
      <c r="B49" t="s">
        <v>233</v>
      </c>
      <c r="C49" t="s">
        <v>56</v>
      </c>
      <c r="D49" t="s">
        <v>61</v>
      </c>
      <c r="E49" t="s">
        <v>62</v>
      </c>
      <c r="F49" t="s">
        <v>63</v>
      </c>
      <c r="G49" t="s">
        <v>63</v>
      </c>
      <c r="H49" s="13" t="s">
        <v>317</v>
      </c>
      <c r="I49">
        <v>46.6</v>
      </c>
      <c r="J49">
        <v>4006553</v>
      </c>
      <c r="K49">
        <v>0.13400000000000001</v>
      </c>
      <c r="L49">
        <v>0.120577000418654</v>
      </c>
      <c r="M49">
        <v>0.11402735632705401</v>
      </c>
      <c r="N49">
        <v>5.9042928300129402E-2</v>
      </c>
      <c r="O49" s="2" t="s">
        <v>606</v>
      </c>
      <c r="P49" t="s">
        <v>606</v>
      </c>
    </row>
    <row r="50" spans="1:16" x14ac:dyDescent="0.25">
      <c r="A50" t="s">
        <v>115</v>
      </c>
      <c r="B50" t="s">
        <v>233</v>
      </c>
      <c r="C50" t="s">
        <v>56</v>
      </c>
      <c r="D50" t="s">
        <v>57</v>
      </c>
      <c r="E50" t="s">
        <v>62</v>
      </c>
      <c r="F50" s="47" t="s">
        <v>116</v>
      </c>
      <c r="G50" s="2" t="s">
        <v>116</v>
      </c>
      <c r="H50" s="13" t="s">
        <v>258</v>
      </c>
      <c r="I50">
        <v>36.299999999999997</v>
      </c>
      <c r="J50">
        <v>4797710</v>
      </c>
      <c r="K50">
        <v>8.4000000000000005E-2</v>
      </c>
      <c r="L50">
        <v>7.0503557191883906E-2</v>
      </c>
      <c r="M50">
        <v>2.3682360024441101E-2</v>
      </c>
      <c r="N50">
        <v>2.5361008538133299E-2</v>
      </c>
      <c r="O50" s="2" t="s">
        <v>116</v>
      </c>
      <c r="P50" t="s">
        <v>606</v>
      </c>
    </row>
    <row r="51" spans="1:16" x14ac:dyDescent="0.25">
      <c r="A51" t="s">
        <v>117</v>
      </c>
      <c r="B51" t="s">
        <v>233</v>
      </c>
      <c r="C51" t="s">
        <v>56</v>
      </c>
      <c r="D51" t="s">
        <v>57</v>
      </c>
      <c r="E51" t="s">
        <v>118</v>
      </c>
      <c r="F51" s="47" t="s">
        <v>119</v>
      </c>
      <c r="G51" s="2" t="s">
        <v>119</v>
      </c>
      <c r="H51" s="13" t="s">
        <v>259</v>
      </c>
      <c r="I51">
        <v>49.1</v>
      </c>
      <c r="J51">
        <v>1033210</v>
      </c>
      <c r="K51">
        <v>0.11</v>
      </c>
      <c r="L51">
        <v>9.3579000048443994E-2</v>
      </c>
      <c r="M51">
        <v>7.2145184751917696E-2</v>
      </c>
      <c r="N51">
        <v>5.1304706206757901E-2</v>
      </c>
      <c r="O51" s="2" t="s">
        <v>606</v>
      </c>
      <c r="P51" t="s">
        <v>57</v>
      </c>
    </row>
    <row r="52" spans="1:16" x14ac:dyDescent="0.25">
      <c r="A52" t="s">
        <v>120</v>
      </c>
      <c r="B52" t="s">
        <v>233</v>
      </c>
      <c r="C52" t="s">
        <v>56</v>
      </c>
      <c r="D52" t="s">
        <v>61</v>
      </c>
      <c r="E52" t="s">
        <v>62</v>
      </c>
      <c r="F52" t="s">
        <v>63</v>
      </c>
      <c r="G52" t="s">
        <v>63</v>
      </c>
      <c r="H52" s="13" t="s">
        <v>317</v>
      </c>
      <c r="I52">
        <v>23.1</v>
      </c>
      <c r="J52">
        <v>4237005</v>
      </c>
      <c r="K52">
        <v>8.5999999999999993E-2</v>
      </c>
      <c r="L52">
        <v>6.9689330454742002E-2</v>
      </c>
      <c r="M52">
        <v>3.9298294727541601E-2</v>
      </c>
      <c r="N52">
        <v>3.3812347242273097E-2</v>
      </c>
      <c r="O52" s="2" t="s">
        <v>606</v>
      </c>
      <c r="P52" t="s">
        <v>606</v>
      </c>
    </row>
    <row r="53" spans="1:16" x14ac:dyDescent="0.25">
      <c r="A53" t="s">
        <v>121</v>
      </c>
      <c r="B53" t="s">
        <v>233</v>
      </c>
      <c r="C53" t="s">
        <v>56</v>
      </c>
      <c r="D53" t="s">
        <v>57</v>
      </c>
      <c r="E53" t="s">
        <v>58</v>
      </c>
      <c r="F53" s="47" t="s">
        <v>116</v>
      </c>
      <c r="G53" s="2" t="s">
        <v>116</v>
      </c>
      <c r="H53" s="13" t="s">
        <v>258</v>
      </c>
      <c r="I53">
        <v>30.7</v>
      </c>
      <c r="J53">
        <v>3077235</v>
      </c>
      <c r="K53">
        <v>0.115</v>
      </c>
      <c r="L53">
        <v>0.100178970633181</v>
      </c>
      <c r="M53">
        <v>8.7035441120270299E-2</v>
      </c>
      <c r="N53">
        <v>3.5393819816493498E-2</v>
      </c>
      <c r="O53" s="2" t="s">
        <v>116</v>
      </c>
      <c r="P53" t="s">
        <v>606</v>
      </c>
    </row>
    <row r="54" spans="1:16" x14ac:dyDescent="0.25">
      <c r="A54" t="s">
        <v>122</v>
      </c>
      <c r="B54" t="s">
        <v>233</v>
      </c>
      <c r="C54" t="s">
        <v>56</v>
      </c>
      <c r="D54" t="s">
        <v>61</v>
      </c>
      <c r="E54" t="s">
        <v>62</v>
      </c>
      <c r="F54" t="s">
        <v>63</v>
      </c>
      <c r="G54" t="s">
        <v>63</v>
      </c>
      <c r="H54" s="13" t="s">
        <v>317</v>
      </c>
      <c r="I54">
        <v>36.5</v>
      </c>
      <c r="J54">
        <v>1844296</v>
      </c>
      <c r="K54">
        <v>9.1999999999999998E-2</v>
      </c>
      <c r="L54">
        <v>7.3985614722255094E-2</v>
      </c>
      <c r="M54">
        <v>2.0421968501043799E-2</v>
      </c>
      <c r="N54">
        <v>1.8033618605726599E-2</v>
      </c>
      <c r="O54" s="2" t="s">
        <v>606</v>
      </c>
      <c r="P54" t="s">
        <v>606</v>
      </c>
    </row>
    <row r="55" spans="1:16" x14ac:dyDescent="0.25">
      <c r="A55" t="s">
        <v>123</v>
      </c>
      <c r="B55" t="s">
        <v>233</v>
      </c>
      <c r="C55" t="s">
        <v>56</v>
      </c>
      <c r="D55" t="s">
        <v>61</v>
      </c>
      <c r="E55" t="s">
        <v>62</v>
      </c>
      <c r="F55" t="s">
        <v>63</v>
      </c>
      <c r="G55" t="s">
        <v>63</v>
      </c>
      <c r="H55" s="13" t="s">
        <v>317</v>
      </c>
      <c r="I55">
        <v>25.4</v>
      </c>
      <c r="J55">
        <v>3451912</v>
      </c>
      <c r="K55">
        <v>9.8000000000000004E-2</v>
      </c>
      <c r="L55">
        <v>8.0708459965479803E-2</v>
      </c>
      <c r="M55">
        <v>3.2569291155798E-2</v>
      </c>
      <c r="N55">
        <v>4.0997673749857903E-2</v>
      </c>
      <c r="O55" s="2" t="s">
        <v>606</v>
      </c>
      <c r="P55" t="s">
        <v>606</v>
      </c>
    </row>
    <row r="56" spans="1:16" x14ac:dyDescent="0.25">
      <c r="A56" t="s">
        <v>124</v>
      </c>
      <c r="B56" t="s">
        <v>233</v>
      </c>
      <c r="C56" t="s">
        <v>56</v>
      </c>
      <c r="D56" t="s">
        <v>57</v>
      </c>
      <c r="E56" t="s">
        <v>58</v>
      </c>
      <c r="F56" s="47" t="s">
        <v>125</v>
      </c>
      <c r="G56" s="2" t="s">
        <v>125</v>
      </c>
      <c r="H56" s="13" t="s">
        <v>253</v>
      </c>
      <c r="I56">
        <v>74.7</v>
      </c>
      <c r="J56">
        <v>2684957</v>
      </c>
      <c r="K56">
        <v>0.128</v>
      </c>
      <c r="L56">
        <v>0.108777543497846</v>
      </c>
      <c r="M56">
        <v>9.9504515324371795E-2</v>
      </c>
      <c r="N56">
        <v>5.9182776957529798E-2</v>
      </c>
      <c r="O56" s="2" t="s">
        <v>125</v>
      </c>
      <c r="P56" t="s">
        <v>606</v>
      </c>
    </row>
    <row r="57" spans="1:16" x14ac:dyDescent="0.25">
      <c r="A57" t="s">
        <v>126</v>
      </c>
      <c r="B57" t="s">
        <v>233</v>
      </c>
      <c r="C57" t="s">
        <v>56</v>
      </c>
      <c r="D57" t="s">
        <v>57</v>
      </c>
      <c r="E57" t="s">
        <v>62</v>
      </c>
      <c r="F57" s="47" t="s">
        <v>127</v>
      </c>
      <c r="G57" s="2" t="s">
        <v>127</v>
      </c>
      <c r="H57" s="13" t="s">
        <v>260</v>
      </c>
      <c r="I57">
        <v>122.4</v>
      </c>
      <c r="J57">
        <v>1426197</v>
      </c>
      <c r="K57">
        <v>0.189</v>
      </c>
      <c r="L57">
        <v>0.17754401564188399</v>
      </c>
      <c r="M57">
        <v>8.8365082727698593E-2</v>
      </c>
      <c r="N57">
        <v>8.8611735601213701E-2</v>
      </c>
      <c r="O57" s="2" t="s">
        <v>127</v>
      </c>
      <c r="P57" t="s">
        <v>606</v>
      </c>
    </row>
    <row r="58" spans="1:16" s="27" customFormat="1" x14ac:dyDescent="0.25">
      <c r="A58" s="27" t="s">
        <v>128</v>
      </c>
      <c r="B58" s="27" t="s">
        <v>233</v>
      </c>
      <c r="C58" s="27" t="s">
        <v>78</v>
      </c>
      <c r="D58" s="27" t="s">
        <v>79</v>
      </c>
      <c r="E58" s="27" t="s">
        <v>80</v>
      </c>
      <c r="F58" s="27" t="s">
        <v>80</v>
      </c>
      <c r="G58" s="27" t="s">
        <v>80</v>
      </c>
      <c r="H58" s="28" t="s">
        <v>293</v>
      </c>
      <c r="I58" s="27">
        <v>213</v>
      </c>
      <c r="J58" s="27">
        <v>927642</v>
      </c>
      <c r="K58" s="27">
        <v>0.255</v>
      </c>
      <c r="L58" s="27">
        <v>0.249315241235705</v>
      </c>
      <c r="M58" s="27">
        <v>0.278746006801666</v>
      </c>
      <c r="N58" s="27">
        <v>0.27171725500454402</v>
      </c>
      <c r="O58" s="48" t="s">
        <v>80</v>
      </c>
      <c r="P58" s="27" t="s">
        <v>79</v>
      </c>
    </row>
    <row r="59" spans="1:16" x14ac:dyDescent="0.25">
      <c r="A59" t="s">
        <v>129</v>
      </c>
      <c r="B59" t="s">
        <v>233</v>
      </c>
      <c r="C59" t="s">
        <v>56</v>
      </c>
      <c r="D59" t="s">
        <v>57</v>
      </c>
      <c r="E59" t="s">
        <v>58</v>
      </c>
      <c r="F59" s="47" t="s">
        <v>59</v>
      </c>
      <c r="G59" s="2" t="s">
        <v>59</v>
      </c>
      <c r="H59" s="13" t="s">
        <v>252</v>
      </c>
      <c r="I59">
        <v>23.7</v>
      </c>
      <c r="J59">
        <v>14571115</v>
      </c>
      <c r="K59">
        <v>4.3999999999999997E-2</v>
      </c>
      <c r="L59">
        <v>4.1789714983007202E-2</v>
      </c>
      <c r="M59">
        <v>2.8413251931907399E-2</v>
      </c>
      <c r="N59">
        <v>3.21960011513725E-2</v>
      </c>
      <c r="O59" s="2" t="s">
        <v>59</v>
      </c>
      <c r="P59" t="s">
        <v>606</v>
      </c>
    </row>
    <row r="60" spans="1:16" x14ac:dyDescent="0.25">
      <c r="A60" t="s">
        <v>130</v>
      </c>
      <c r="B60" t="s">
        <v>233</v>
      </c>
      <c r="C60" t="s">
        <v>56</v>
      </c>
      <c r="D60" t="s">
        <v>61</v>
      </c>
      <c r="E60" t="s">
        <v>62</v>
      </c>
      <c r="F60" t="s">
        <v>63</v>
      </c>
      <c r="G60" t="s">
        <v>63</v>
      </c>
      <c r="H60" s="13" t="s">
        <v>317</v>
      </c>
      <c r="I60">
        <v>29.9</v>
      </c>
      <c r="J60">
        <v>3935016</v>
      </c>
      <c r="K60">
        <v>0.10299999999999999</v>
      </c>
      <c r="L60">
        <v>8.49419933130134E-2</v>
      </c>
      <c r="M60">
        <v>4.0531181329758602E-2</v>
      </c>
      <c r="N60">
        <v>3.51658517491346E-2</v>
      </c>
      <c r="O60" s="2" t="s">
        <v>606</v>
      </c>
      <c r="P60" t="s">
        <v>606</v>
      </c>
    </row>
    <row r="61" spans="1:16" x14ac:dyDescent="0.25">
      <c r="A61" t="s">
        <v>131</v>
      </c>
      <c r="B61" t="s">
        <v>233</v>
      </c>
      <c r="C61" t="s">
        <v>56</v>
      </c>
      <c r="D61" t="s">
        <v>61</v>
      </c>
      <c r="E61" t="s">
        <v>58</v>
      </c>
      <c r="F61" t="s">
        <v>63</v>
      </c>
      <c r="G61" t="s">
        <v>63</v>
      </c>
      <c r="H61" s="13" t="s">
        <v>317</v>
      </c>
      <c r="I61">
        <v>47.1</v>
      </c>
      <c r="J61">
        <v>1582792</v>
      </c>
      <c r="K61">
        <v>8.8999999999999996E-2</v>
      </c>
      <c r="L61">
        <v>8.0243781373909306E-2</v>
      </c>
      <c r="M61">
        <v>2.9855206877998801E-2</v>
      </c>
      <c r="N61">
        <v>2.3517470841852801E-2</v>
      </c>
      <c r="O61" s="2" t="s">
        <v>606</v>
      </c>
      <c r="P61" t="s">
        <v>606</v>
      </c>
    </row>
    <row r="62" spans="1:16" x14ac:dyDescent="0.25">
      <c r="A62" t="s">
        <v>132</v>
      </c>
      <c r="B62" t="s">
        <v>233</v>
      </c>
      <c r="C62" t="s">
        <v>56</v>
      </c>
      <c r="D62" t="s">
        <v>61</v>
      </c>
      <c r="E62" t="s">
        <v>62</v>
      </c>
      <c r="F62" t="s">
        <v>63</v>
      </c>
      <c r="G62" t="s">
        <v>63</v>
      </c>
      <c r="H62" s="13" t="s">
        <v>317</v>
      </c>
      <c r="I62">
        <v>47.2</v>
      </c>
      <c r="J62">
        <v>2096049</v>
      </c>
      <c r="K62">
        <v>9.1999999999999998E-2</v>
      </c>
      <c r="L62">
        <v>8.4170346625065895E-2</v>
      </c>
      <c r="M62">
        <v>6.3949370505490502E-2</v>
      </c>
      <c r="N62">
        <v>5.2028083163151197E-2</v>
      </c>
      <c r="O62" s="2" t="s">
        <v>606</v>
      </c>
      <c r="P62" t="s">
        <v>606</v>
      </c>
    </row>
    <row r="63" spans="1:16" x14ac:dyDescent="0.25">
      <c r="A63" t="s">
        <v>133</v>
      </c>
      <c r="B63" t="s">
        <v>233</v>
      </c>
      <c r="C63" t="s">
        <v>56</v>
      </c>
      <c r="D63" t="s">
        <v>57</v>
      </c>
      <c r="E63" t="s">
        <v>62</v>
      </c>
      <c r="F63" s="47" t="s">
        <v>134</v>
      </c>
      <c r="G63" s="2" t="s">
        <v>243</v>
      </c>
      <c r="H63" s="13" t="s">
        <v>261</v>
      </c>
      <c r="I63">
        <v>37.9</v>
      </c>
      <c r="J63">
        <v>3240532</v>
      </c>
      <c r="K63">
        <v>8.1000000000000003E-2</v>
      </c>
      <c r="L63">
        <v>7.4376664766966194E-2</v>
      </c>
      <c r="M63">
        <v>3.6680881338289201E-2</v>
      </c>
      <c r="N63">
        <v>3.2981466223118698E-2</v>
      </c>
      <c r="O63" s="2" t="s">
        <v>243</v>
      </c>
      <c r="P63" t="s">
        <v>606</v>
      </c>
    </row>
    <row r="64" spans="1:16" x14ac:dyDescent="0.25">
      <c r="A64" t="s">
        <v>135</v>
      </c>
      <c r="B64" t="s">
        <v>233</v>
      </c>
      <c r="C64" t="s">
        <v>56</v>
      </c>
      <c r="D64" t="s">
        <v>61</v>
      </c>
      <c r="E64" t="s">
        <v>62</v>
      </c>
      <c r="F64" t="s">
        <v>63</v>
      </c>
      <c r="G64" t="s">
        <v>63</v>
      </c>
      <c r="H64" s="13" t="s">
        <v>317</v>
      </c>
      <c r="I64">
        <v>45.9</v>
      </c>
      <c r="J64">
        <v>1847697</v>
      </c>
      <c r="K64">
        <v>0.11</v>
      </c>
      <c r="L64">
        <v>9.7506347583562705E-2</v>
      </c>
      <c r="M64">
        <v>9.1766730792562007E-2</v>
      </c>
      <c r="N64">
        <v>4.4476790526997802E-2</v>
      </c>
      <c r="O64" s="2" t="s">
        <v>606</v>
      </c>
      <c r="P64" t="s">
        <v>606</v>
      </c>
    </row>
    <row r="65" spans="1:16" x14ac:dyDescent="0.25">
      <c r="A65" t="s">
        <v>136</v>
      </c>
      <c r="B65" t="s">
        <v>233</v>
      </c>
      <c r="C65" t="s">
        <v>56</v>
      </c>
      <c r="D65" t="s">
        <v>68</v>
      </c>
      <c r="E65" t="s">
        <v>58</v>
      </c>
      <c r="F65" s="2" t="s">
        <v>137</v>
      </c>
      <c r="G65" s="47" t="s">
        <v>63</v>
      </c>
      <c r="H65" s="13" t="s">
        <v>283</v>
      </c>
      <c r="I65">
        <v>45.2</v>
      </c>
      <c r="J65">
        <v>2913553</v>
      </c>
      <c r="K65">
        <v>9.9000000000000005E-2</v>
      </c>
      <c r="L65">
        <v>8.9333511467505594E-2</v>
      </c>
      <c r="M65">
        <v>3.7897880840531299E-2</v>
      </c>
      <c r="N65">
        <v>3.6435635217080098E-2</v>
      </c>
      <c r="O65" s="2" t="s">
        <v>137</v>
      </c>
      <c r="P65" t="s">
        <v>606</v>
      </c>
    </row>
    <row r="66" spans="1:16" s="27" customFormat="1" x14ac:dyDescent="0.25">
      <c r="A66" s="27" t="s">
        <v>138</v>
      </c>
      <c r="B66" s="27" t="s">
        <v>233</v>
      </c>
      <c r="C66" s="27" t="s">
        <v>78</v>
      </c>
      <c r="D66" s="27" t="s">
        <v>79</v>
      </c>
      <c r="E66" s="27" t="s">
        <v>80</v>
      </c>
      <c r="F66" s="27" t="s">
        <v>80</v>
      </c>
      <c r="G66" s="27" t="s">
        <v>80</v>
      </c>
      <c r="H66" s="28" t="s">
        <v>293</v>
      </c>
      <c r="I66" s="27">
        <v>1410.3</v>
      </c>
      <c r="J66" s="27">
        <v>346215</v>
      </c>
      <c r="K66" s="27">
        <v>0.66500000000000004</v>
      </c>
      <c r="L66" s="27">
        <v>0.82527342669205295</v>
      </c>
      <c r="M66" s="27">
        <v>0.38219439532743998</v>
      </c>
      <c r="N66" s="27">
        <v>0.445699376785539</v>
      </c>
      <c r="O66" s="48" t="s">
        <v>80</v>
      </c>
      <c r="P66" s="27" t="s">
        <v>79</v>
      </c>
    </row>
    <row r="67" spans="1:16" s="27" customFormat="1" x14ac:dyDescent="0.25">
      <c r="A67" s="27" t="s">
        <v>139</v>
      </c>
      <c r="B67" s="27" t="s">
        <v>233</v>
      </c>
      <c r="C67" s="27" t="s">
        <v>78</v>
      </c>
      <c r="D67" s="27" t="s">
        <v>79</v>
      </c>
      <c r="E67" s="27" t="s">
        <v>80</v>
      </c>
      <c r="F67" s="27" t="s">
        <v>80</v>
      </c>
      <c r="G67" s="27" t="s">
        <v>80</v>
      </c>
      <c r="H67" s="28" t="s">
        <v>293</v>
      </c>
      <c r="I67" s="27">
        <v>2170.1</v>
      </c>
      <c r="J67" s="27">
        <v>124742</v>
      </c>
      <c r="K67" s="27">
        <v>0.51500000000000001</v>
      </c>
      <c r="L67" s="27">
        <v>0.36283640442982601</v>
      </c>
      <c r="M67" s="27">
        <v>7.5340024945527703E-2</v>
      </c>
      <c r="N67" s="27">
        <v>8.0323609419929595E-2</v>
      </c>
      <c r="O67" s="48" t="s">
        <v>80</v>
      </c>
      <c r="P67" s="27" t="s">
        <v>79</v>
      </c>
    </row>
    <row r="68" spans="1:16" x14ac:dyDescent="0.25">
      <c r="A68" t="s">
        <v>140</v>
      </c>
      <c r="B68" t="s">
        <v>233</v>
      </c>
      <c r="C68" t="s">
        <v>56</v>
      </c>
      <c r="D68" t="s">
        <v>68</v>
      </c>
      <c r="E68" t="s">
        <v>58</v>
      </c>
      <c r="F68" s="2" t="s">
        <v>141</v>
      </c>
      <c r="G68" s="47" t="s">
        <v>242</v>
      </c>
      <c r="H68" s="13" t="s">
        <v>284</v>
      </c>
      <c r="I68">
        <v>44.3</v>
      </c>
      <c r="J68">
        <v>3408202</v>
      </c>
      <c r="K68">
        <v>8.2000000000000003E-2</v>
      </c>
      <c r="L68">
        <v>6.71080161320535E-2</v>
      </c>
      <c r="M68">
        <v>2.12386179620715E-2</v>
      </c>
      <c r="N68">
        <v>1.8730574699407899E-2</v>
      </c>
      <c r="O68" s="2" t="s">
        <v>141</v>
      </c>
      <c r="P68" t="s">
        <v>606</v>
      </c>
    </row>
    <row r="69" spans="1:16" x14ac:dyDescent="0.25">
      <c r="A69" t="s">
        <v>142</v>
      </c>
      <c r="B69" t="s">
        <v>233</v>
      </c>
      <c r="C69" t="s">
        <v>56</v>
      </c>
      <c r="D69" t="s">
        <v>57</v>
      </c>
      <c r="E69" t="s">
        <v>62</v>
      </c>
      <c r="F69" s="47" t="s">
        <v>143</v>
      </c>
      <c r="G69" s="2" t="s">
        <v>143</v>
      </c>
      <c r="H69" s="13" t="s">
        <v>262</v>
      </c>
      <c r="I69">
        <v>55.6</v>
      </c>
      <c r="J69">
        <v>1797264</v>
      </c>
      <c r="K69">
        <v>0.107</v>
      </c>
      <c r="L69">
        <v>8.8979445866667506E-2</v>
      </c>
      <c r="M69">
        <v>3.8850484306522097E-2</v>
      </c>
      <c r="N69">
        <v>2.8536667584550101E-2</v>
      </c>
      <c r="O69" s="2" t="s">
        <v>143</v>
      </c>
      <c r="P69" t="s">
        <v>606</v>
      </c>
    </row>
    <row r="70" spans="1:16" x14ac:dyDescent="0.25">
      <c r="A70" t="s">
        <v>144</v>
      </c>
      <c r="B70" t="s">
        <v>233</v>
      </c>
      <c r="C70" t="s">
        <v>56</v>
      </c>
      <c r="D70" t="s">
        <v>57</v>
      </c>
      <c r="E70" t="s">
        <v>58</v>
      </c>
      <c r="F70" s="47" t="s">
        <v>145</v>
      </c>
      <c r="G70" s="2" t="s">
        <v>145</v>
      </c>
      <c r="H70" s="13" t="s">
        <v>263</v>
      </c>
      <c r="I70">
        <v>39.200000000000003</v>
      </c>
      <c r="J70">
        <v>3507013</v>
      </c>
      <c r="K70">
        <v>7.2999999999999995E-2</v>
      </c>
      <c r="L70">
        <v>6.6062366956013793E-2</v>
      </c>
      <c r="M70">
        <v>2.9567397999050501E-2</v>
      </c>
      <c r="N70">
        <v>3.2288896340892902E-2</v>
      </c>
      <c r="O70" s="2" t="s">
        <v>145</v>
      </c>
      <c r="P70" t="s">
        <v>606</v>
      </c>
    </row>
    <row r="71" spans="1:16" x14ac:dyDescent="0.25">
      <c r="A71" t="s">
        <v>146</v>
      </c>
      <c r="B71" t="s">
        <v>233</v>
      </c>
      <c r="C71" t="s">
        <v>56</v>
      </c>
      <c r="D71" t="s">
        <v>61</v>
      </c>
      <c r="E71" t="s">
        <v>58</v>
      </c>
      <c r="F71" t="s">
        <v>63</v>
      </c>
      <c r="G71" t="s">
        <v>63</v>
      </c>
      <c r="H71" s="13" t="s">
        <v>317</v>
      </c>
      <c r="I71">
        <v>42.2</v>
      </c>
      <c r="J71">
        <v>3868343</v>
      </c>
      <c r="K71">
        <v>0.11600000000000001</v>
      </c>
      <c r="L71">
        <v>0.10205952187228701</v>
      </c>
      <c r="M71">
        <v>7.2815955321064205E-2</v>
      </c>
      <c r="N71">
        <v>4.9570984669115303E-2</v>
      </c>
      <c r="O71" s="2" t="s">
        <v>606</v>
      </c>
      <c r="P71" t="s">
        <v>606</v>
      </c>
    </row>
    <row r="72" spans="1:16" x14ac:dyDescent="0.25">
      <c r="A72" t="s">
        <v>147</v>
      </c>
      <c r="B72" t="s">
        <v>233</v>
      </c>
      <c r="C72" t="s">
        <v>56</v>
      </c>
      <c r="D72" t="s">
        <v>61</v>
      </c>
      <c r="E72" t="s">
        <v>58</v>
      </c>
      <c r="F72" t="s">
        <v>63</v>
      </c>
      <c r="G72" t="s">
        <v>63</v>
      </c>
      <c r="H72" s="13" t="s">
        <v>317</v>
      </c>
      <c r="I72">
        <v>71.599999999999994</v>
      </c>
      <c r="J72">
        <v>1580973</v>
      </c>
      <c r="K72">
        <v>8.5999999999999993E-2</v>
      </c>
      <c r="L72">
        <v>7.6111588014157905E-2</v>
      </c>
      <c r="M72">
        <v>1.2172159146521099E-2</v>
      </c>
      <c r="N72">
        <v>1.40723436981213E-2</v>
      </c>
      <c r="O72" s="2" t="s">
        <v>606</v>
      </c>
      <c r="P72" t="s">
        <v>606</v>
      </c>
    </row>
    <row r="73" spans="1:16" x14ac:dyDescent="0.25">
      <c r="A73" t="s">
        <v>148</v>
      </c>
      <c r="B73" t="s">
        <v>233</v>
      </c>
      <c r="C73" t="s">
        <v>56</v>
      </c>
      <c r="D73" t="s">
        <v>68</v>
      </c>
      <c r="E73" t="s">
        <v>62</v>
      </c>
      <c r="F73" s="2" t="s">
        <v>149</v>
      </c>
      <c r="G73" s="47" t="s">
        <v>241</v>
      </c>
      <c r="H73" s="13" t="s">
        <v>273</v>
      </c>
      <c r="I73">
        <v>29.4</v>
      </c>
      <c r="J73">
        <v>902976</v>
      </c>
      <c r="K73">
        <v>0.10299999999999999</v>
      </c>
      <c r="L73">
        <v>8.0744021373061095E-2</v>
      </c>
      <c r="M73">
        <v>3.3527088575787803E-2</v>
      </c>
      <c r="N73">
        <v>3.5625707562321501E-2</v>
      </c>
      <c r="O73" s="2" t="s">
        <v>149</v>
      </c>
      <c r="P73" t="s">
        <v>606</v>
      </c>
    </row>
    <row r="74" spans="1:16" x14ac:dyDescent="0.25">
      <c r="A74" t="s">
        <v>150</v>
      </c>
      <c r="B74" t="s">
        <v>233</v>
      </c>
      <c r="C74" t="s">
        <v>56</v>
      </c>
      <c r="D74" t="s">
        <v>61</v>
      </c>
      <c r="E74" t="s">
        <v>62</v>
      </c>
      <c r="F74" t="s">
        <v>63</v>
      </c>
      <c r="G74" t="s">
        <v>63</v>
      </c>
      <c r="H74" s="13" t="s">
        <v>317</v>
      </c>
      <c r="I74">
        <v>64</v>
      </c>
      <c r="J74">
        <v>3493298</v>
      </c>
      <c r="K74">
        <v>0.115</v>
      </c>
      <c r="L74">
        <v>9.9378371884972103E-2</v>
      </c>
      <c r="M74">
        <v>9.1083002473486593E-2</v>
      </c>
      <c r="N74">
        <v>5.9639251163185497E-2</v>
      </c>
      <c r="O74" s="2" t="s">
        <v>606</v>
      </c>
      <c r="P74" t="s">
        <v>606</v>
      </c>
    </row>
    <row r="75" spans="1:16" x14ac:dyDescent="0.25">
      <c r="A75" t="s">
        <v>151</v>
      </c>
      <c r="B75" t="s">
        <v>233</v>
      </c>
      <c r="C75" t="s">
        <v>56</v>
      </c>
      <c r="D75" t="s">
        <v>61</v>
      </c>
      <c r="E75" t="s">
        <v>62</v>
      </c>
      <c r="F75" t="s">
        <v>63</v>
      </c>
      <c r="G75" t="s">
        <v>63</v>
      </c>
      <c r="H75" s="13" t="s">
        <v>317</v>
      </c>
      <c r="I75">
        <v>34.700000000000003</v>
      </c>
      <c r="J75">
        <v>3492105</v>
      </c>
      <c r="K75">
        <v>8.4000000000000005E-2</v>
      </c>
      <c r="L75">
        <v>7.6733581370057702E-2</v>
      </c>
      <c r="M75">
        <v>4.8026123488161203E-2</v>
      </c>
      <c r="N75">
        <v>4.1339444856941202E-2</v>
      </c>
      <c r="O75" s="2" t="s">
        <v>606</v>
      </c>
      <c r="P75" t="s">
        <v>606</v>
      </c>
    </row>
    <row r="76" spans="1:16" x14ac:dyDescent="0.25">
      <c r="A76" t="s">
        <v>152</v>
      </c>
      <c r="B76" t="s">
        <v>233</v>
      </c>
      <c r="C76" t="s">
        <v>56</v>
      </c>
      <c r="D76" t="s">
        <v>61</v>
      </c>
      <c r="E76" t="s">
        <v>58</v>
      </c>
      <c r="F76" t="s">
        <v>63</v>
      </c>
      <c r="G76" t="s">
        <v>63</v>
      </c>
      <c r="H76" s="13" t="s">
        <v>317</v>
      </c>
      <c r="I76">
        <v>38.5</v>
      </c>
      <c r="J76">
        <v>3372630</v>
      </c>
      <c r="K76">
        <v>7.3999999999999996E-2</v>
      </c>
      <c r="L76">
        <v>6.8434363241770393E-2</v>
      </c>
      <c r="M76">
        <v>4.4127929012723999E-2</v>
      </c>
      <c r="N76">
        <v>3.6305661815919398E-2</v>
      </c>
      <c r="O76" s="2" t="s">
        <v>606</v>
      </c>
      <c r="P76" t="s">
        <v>606</v>
      </c>
    </row>
    <row r="77" spans="1:16" x14ac:dyDescent="0.25">
      <c r="A77" t="s">
        <v>153</v>
      </c>
      <c r="B77" t="s">
        <v>233</v>
      </c>
      <c r="C77" t="s">
        <v>56</v>
      </c>
      <c r="D77" t="s">
        <v>61</v>
      </c>
      <c r="E77" t="s">
        <v>62</v>
      </c>
      <c r="F77" t="s">
        <v>63</v>
      </c>
      <c r="G77" t="s">
        <v>63</v>
      </c>
      <c r="H77" s="13" t="s">
        <v>317</v>
      </c>
      <c r="I77">
        <v>38.700000000000003</v>
      </c>
      <c r="J77">
        <v>1923673</v>
      </c>
      <c r="K77">
        <v>0.08</v>
      </c>
      <c r="L77">
        <v>6.1033251409306301E-2</v>
      </c>
      <c r="M77">
        <v>1.1595186396192199E-2</v>
      </c>
      <c r="N77">
        <v>1.51471058368865E-2</v>
      </c>
      <c r="O77" s="2" t="s">
        <v>606</v>
      </c>
      <c r="P77" t="s">
        <v>606</v>
      </c>
    </row>
    <row r="78" spans="1:16" s="27" customFormat="1" x14ac:dyDescent="0.25">
      <c r="A78" s="27" t="s">
        <v>154</v>
      </c>
      <c r="B78" s="27" t="s">
        <v>233</v>
      </c>
      <c r="C78" s="27" t="s">
        <v>78</v>
      </c>
      <c r="D78" s="27" t="s">
        <v>79</v>
      </c>
      <c r="E78" s="27" t="s">
        <v>80</v>
      </c>
      <c r="F78" s="27" t="s">
        <v>80</v>
      </c>
      <c r="G78" s="27" t="s">
        <v>80</v>
      </c>
      <c r="H78" s="28" t="s">
        <v>294</v>
      </c>
      <c r="I78" s="27">
        <v>173</v>
      </c>
      <c r="J78" s="27">
        <v>33342</v>
      </c>
      <c r="K78" s="27">
        <v>0.77600000000000002</v>
      </c>
      <c r="L78" s="27">
        <v>0.61722587670638196</v>
      </c>
      <c r="M78" s="27">
        <v>0.37265005707597498</v>
      </c>
      <c r="N78" s="27">
        <v>0.47104241464535102</v>
      </c>
      <c r="O78" s="48" t="s">
        <v>80</v>
      </c>
      <c r="P78" s="27" t="s">
        <v>79</v>
      </c>
    </row>
    <row r="79" spans="1:16" x14ac:dyDescent="0.25">
      <c r="A79" t="s">
        <v>155</v>
      </c>
      <c r="B79" t="s">
        <v>233</v>
      </c>
      <c r="C79" t="s">
        <v>56</v>
      </c>
      <c r="D79" t="s">
        <v>57</v>
      </c>
      <c r="E79" t="s">
        <v>58</v>
      </c>
      <c r="F79" s="47" t="s">
        <v>59</v>
      </c>
      <c r="G79" s="2" t="s">
        <v>59</v>
      </c>
      <c r="H79" s="13" t="s">
        <v>252</v>
      </c>
      <c r="I79">
        <v>37.4</v>
      </c>
      <c r="J79">
        <v>1844950</v>
      </c>
      <c r="K79">
        <v>8.3000000000000004E-2</v>
      </c>
      <c r="L79">
        <v>6.9498495045667602E-2</v>
      </c>
      <c r="M79">
        <v>1.5704564905300099E-2</v>
      </c>
      <c r="N79">
        <v>1.6681441672202101E-2</v>
      </c>
      <c r="O79" s="2" t="s">
        <v>59</v>
      </c>
      <c r="P79" t="s">
        <v>606</v>
      </c>
    </row>
    <row r="80" spans="1:16" s="27" customFormat="1" x14ac:dyDescent="0.25">
      <c r="A80" s="27" t="s">
        <v>156</v>
      </c>
      <c r="B80" s="27" t="s">
        <v>233</v>
      </c>
      <c r="C80" s="27" t="s">
        <v>78</v>
      </c>
      <c r="D80" s="27" t="s">
        <v>79</v>
      </c>
      <c r="E80" s="27" t="s">
        <v>80</v>
      </c>
      <c r="F80" s="27" t="s">
        <v>80</v>
      </c>
      <c r="G80" s="27" t="s">
        <v>80</v>
      </c>
      <c r="H80" s="28" t="s">
        <v>294</v>
      </c>
      <c r="I80" s="27">
        <v>2630.2</v>
      </c>
      <c r="J80" s="27">
        <v>9337</v>
      </c>
      <c r="K80" s="27">
        <v>0.89400000000000002</v>
      </c>
      <c r="L80" s="27">
        <v>0.68670392720214501</v>
      </c>
      <c r="M80" s="27">
        <v>9.5823284287646499E-2</v>
      </c>
      <c r="N80" s="27">
        <v>0.14252149955740701</v>
      </c>
      <c r="O80" s="48" t="s">
        <v>80</v>
      </c>
      <c r="P80" s="27" t="s">
        <v>79</v>
      </c>
    </row>
    <row r="81" spans="1:16" x14ac:dyDescent="0.25">
      <c r="A81" t="s">
        <v>157</v>
      </c>
      <c r="B81" t="s">
        <v>233</v>
      </c>
      <c r="C81" t="s">
        <v>56</v>
      </c>
      <c r="D81" t="s">
        <v>57</v>
      </c>
      <c r="E81" t="s">
        <v>58</v>
      </c>
      <c r="F81" s="47" t="s">
        <v>158</v>
      </c>
      <c r="G81" s="2" t="s">
        <v>158</v>
      </c>
      <c r="H81" s="13" t="s">
        <v>264</v>
      </c>
      <c r="I81">
        <v>48</v>
      </c>
      <c r="J81">
        <v>2483624</v>
      </c>
      <c r="K81">
        <v>0.127</v>
      </c>
      <c r="L81">
        <v>0.11691657437530301</v>
      </c>
      <c r="M81">
        <v>0.111160508441672</v>
      </c>
      <c r="N81">
        <v>6.80486345265158E-2</v>
      </c>
      <c r="O81" s="2" t="s">
        <v>158</v>
      </c>
      <c r="P81" t="s">
        <v>606</v>
      </c>
    </row>
    <row r="82" spans="1:16" ht="30" x14ac:dyDescent="0.25">
      <c r="A82" t="s">
        <v>159</v>
      </c>
      <c r="B82" t="s">
        <v>233</v>
      </c>
      <c r="C82" t="s">
        <v>56</v>
      </c>
      <c r="D82" t="s">
        <v>68</v>
      </c>
      <c r="E82" t="s">
        <v>58</v>
      </c>
      <c r="F82" s="2" t="s">
        <v>160</v>
      </c>
      <c r="G82" s="47" t="s">
        <v>240</v>
      </c>
      <c r="H82" s="13" t="s">
        <v>285</v>
      </c>
      <c r="I82">
        <v>42.1</v>
      </c>
      <c r="J82">
        <v>2196441</v>
      </c>
      <c r="K82">
        <v>0.108</v>
      </c>
      <c r="L82">
        <v>9.7206911104905605E-2</v>
      </c>
      <c r="M82">
        <v>9.5554414872679294E-2</v>
      </c>
      <c r="N82">
        <v>5.3438565175425598E-2</v>
      </c>
      <c r="O82" s="2" t="s">
        <v>160</v>
      </c>
      <c r="P82" t="s">
        <v>606</v>
      </c>
    </row>
    <row r="83" spans="1:16" x14ac:dyDescent="0.25">
      <c r="A83" t="s">
        <v>161</v>
      </c>
      <c r="B83" t="s">
        <v>233</v>
      </c>
      <c r="C83" t="s">
        <v>56</v>
      </c>
      <c r="D83" t="s">
        <v>61</v>
      </c>
      <c r="E83" t="s">
        <v>58</v>
      </c>
      <c r="F83" t="s">
        <v>63</v>
      </c>
      <c r="G83" t="s">
        <v>63</v>
      </c>
      <c r="H83" s="13" t="s">
        <v>317</v>
      </c>
      <c r="I83">
        <v>39</v>
      </c>
      <c r="J83">
        <v>2541260</v>
      </c>
      <c r="K83">
        <v>0.105</v>
      </c>
      <c r="L83">
        <v>9.5555212920886895E-2</v>
      </c>
      <c r="M83">
        <v>8.7273437464132006E-2</v>
      </c>
      <c r="N83">
        <v>5.4168451808196301E-2</v>
      </c>
      <c r="O83" s="2" t="s">
        <v>606</v>
      </c>
      <c r="P83" t="s">
        <v>606</v>
      </c>
    </row>
    <row r="84" spans="1:16" x14ac:dyDescent="0.25">
      <c r="A84" t="s">
        <v>162</v>
      </c>
      <c r="B84" t="s">
        <v>233</v>
      </c>
      <c r="C84" t="s">
        <v>56</v>
      </c>
      <c r="D84" t="s">
        <v>57</v>
      </c>
      <c r="E84" t="s">
        <v>58</v>
      </c>
      <c r="F84" s="47" t="s">
        <v>116</v>
      </c>
      <c r="G84" s="2" t="s">
        <v>116</v>
      </c>
      <c r="H84" s="13" t="s">
        <v>258</v>
      </c>
      <c r="I84">
        <v>36.299999999999997</v>
      </c>
      <c r="J84">
        <v>1824471</v>
      </c>
      <c r="K84">
        <v>0.111</v>
      </c>
      <c r="L84">
        <v>9.3949806729048305E-2</v>
      </c>
      <c r="M84">
        <v>5.7602820925613599E-2</v>
      </c>
      <c r="N84">
        <v>3.47087089579294E-2</v>
      </c>
      <c r="O84" s="2" t="s">
        <v>116</v>
      </c>
      <c r="P84" t="s">
        <v>606</v>
      </c>
    </row>
    <row r="85" spans="1:16" x14ac:dyDescent="0.25">
      <c r="A85" t="s">
        <v>163</v>
      </c>
      <c r="B85" t="s">
        <v>233</v>
      </c>
      <c r="C85" t="s">
        <v>56</v>
      </c>
      <c r="D85" t="s">
        <v>57</v>
      </c>
      <c r="E85" t="s">
        <v>58</v>
      </c>
      <c r="F85" s="47" t="s">
        <v>164</v>
      </c>
      <c r="G85" s="2" t="s">
        <v>239</v>
      </c>
      <c r="H85" s="13" t="s">
        <v>265</v>
      </c>
      <c r="I85">
        <v>72.099999999999994</v>
      </c>
      <c r="J85">
        <v>1232930</v>
      </c>
      <c r="K85">
        <v>9.8000000000000004E-2</v>
      </c>
      <c r="L85">
        <v>8.3531741903655102E-2</v>
      </c>
      <c r="M85">
        <v>4.2975959956381198E-2</v>
      </c>
      <c r="N85">
        <v>3.50826642378569E-2</v>
      </c>
      <c r="O85" s="2" t="s">
        <v>239</v>
      </c>
      <c r="P85" t="s">
        <v>606</v>
      </c>
    </row>
    <row r="86" spans="1:16" x14ac:dyDescent="0.25">
      <c r="A86" t="s">
        <v>165</v>
      </c>
      <c r="B86" t="s">
        <v>233</v>
      </c>
      <c r="C86" t="s">
        <v>56</v>
      </c>
      <c r="D86" t="s">
        <v>61</v>
      </c>
      <c r="E86" t="s">
        <v>62</v>
      </c>
      <c r="F86" t="s">
        <v>63</v>
      </c>
      <c r="G86" t="s">
        <v>63</v>
      </c>
      <c r="H86" s="13" t="s">
        <v>317</v>
      </c>
      <c r="I86">
        <v>37.4</v>
      </c>
      <c r="J86">
        <v>2918561</v>
      </c>
      <c r="K86">
        <v>0.107</v>
      </c>
      <c r="L86">
        <v>9.1301383028370695E-2</v>
      </c>
      <c r="M86">
        <v>3.8350393079883097E-2</v>
      </c>
      <c r="N86">
        <v>1.96936473692636E-2</v>
      </c>
      <c r="O86" s="2" t="s">
        <v>606</v>
      </c>
      <c r="P86" t="s">
        <v>606</v>
      </c>
    </row>
    <row r="87" spans="1:16" x14ac:dyDescent="0.25">
      <c r="A87" t="s">
        <v>166</v>
      </c>
      <c r="B87" t="s">
        <v>233</v>
      </c>
      <c r="C87" t="s">
        <v>56</v>
      </c>
      <c r="D87" t="s">
        <v>61</v>
      </c>
      <c r="E87" t="s">
        <v>62</v>
      </c>
      <c r="F87" t="s">
        <v>63</v>
      </c>
      <c r="G87" t="s">
        <v>63</v>
      </c>
      <c r="H87" s="13" t="s">
        <v>317</v>
      </c>
      <c r="I87">
        <v>42.9</v>
      </c>
      <c r="J87">
        <v>2783487</v>
      </c>
      <c r="K87">
        <v>0.10199999999999999</v>
      </c>
      <c r="L87">
        <v>8.3367904191365694E-2</v>
      </c>
      <c r="M87">
        <v>2.96157911763462E-2</v>
      </c>
      <c r="N87">
        <v>2.6575337925648701E-2</v>
      </c>
      <c r="O87" s="2" t="s">
        <v>606</v>
      </c>
      <c r="P87" t="s">
        <v>606</v>
      </c>
    </row>
    <row r="88" spans="1:16" x14ac:dyDescent="0.25">
      <c r="A88" t="s">
        <v>167</v>
      </c>
      <c r="B88" t="s">
        <v>233</v>
      </c>
      <c r="C88" t="s">
        <v>56</v>
      </c>
      <c r="D88" t="s">
        <v>61</v>
      </c>
      <c r="E88" t="s">
        <v>58</v>
      </c>
      <c r="F88" t="s">
        <v>63</v>
      </c>
      <c r="G88" t="s">
        <v>63</v>
      </c>
      <c r="H88" s="13" t="s">
        <v>317</v>
      </c>
      <c r="I88">
        <v>46.3</v>
      </c>
      <c r="J88">
        <v>2176119</v>
      </c>
      <c r="K88">
        <v>0.111</v>
      </c>
      <c r="L88">
        <v>9.5905306183977204E-2</v>
      </c>
      <c r="M88">
        <v>4.3480176141880301E-2</v>
      </c>
      <c r="N88">
        <v>3.4066161924649799E-2</v>
      </c>
      <c r="O88" s="2" t="s">
        <v>606</v>
      </c>
      <c r="P88" t="s">
        <v>606</v>
      </c>
    </row>
    <row r="89" spans="1:16" x14ac:dyDescent="0.25">
      <c r="A89" t="s">
        <v>168</v>
      </c>
      <c r="B89" t="s">
        <v>233</v>
      </c>
      <c r="C89" t="s">
        <v>56</v>
      </c>
      <c r="D89" t="s">
        <v>61</v>
      </c>
      <c r="E89" t="s">
        <v>62</v>
      </c>
      <c r="F89" t="s">
        <v>63</v>
      </c>
      <c r="G89" t="s">
        <v>63</v>
      </c>
      <c r="H89" s="13" t="s">
        <v>317</v>
      </c>
      <c r="I89">
        <v>35.200000000000003</v>
      </c>
      <c r="J89">
        <v>3098077</v>
      </c>
      <c r="K89">
        <v>0.10299999999999999</v>
      </c>
      <c r="L89">
        <v>8.7229087405003194E-2</v>
      </c>
      <c r="M89">
        <v>5.5823290846096697E-2</v>
      </c>
      <c r="N89">
        <v>2.21579060007507E-2</v>
      </c>
      <c r="O89" s="2" t="s">
        <v>606</v>
      </c>
      <c r="P89" t="s">
        <v>606</v>
      </c>
    </row>
    <row r="90" spans="1:16" x14ac:dyDescent="0.25">
      <c r="A90" t="s">
        <v>169</v>
      </c>
      <c r="B90" t="s">
        <v>233</v>
      </c>
      <c r="C90" t="s">
        <v>56</v>
      </c>
      <c r="D90" t="s">
        <v>57</v>
      </c>
      <c r="E90" t="s">
        <v>58</v>
      </c>
      <c r="F90" s="47" t="s">
        <v>170</v>
      </c>
      <c r="G90" s="2" t="s">
        <v>170</v>
      </c>
      <c r="H90" s="13" t="s">
        <v>266</v>
      </c>
      <c r="I90">
        <v>31.4</v>
      </c>
      <c r="J90">
        <v>2170147</v>
      </c>
      <c r="K90">
        <v>9.6000000000000002E-2</v>
      </c>
      <c r="L90">
        <v>9.0377180131210405E-2</v>
      </c>
      <c r="M90">
        <v>8.6371892992442204E-2</v>
      </c>
      <c r="N90">
        <v>5.1423612958879303E-2</v>
      </c>
      <c r="O90" s="2" t="s">
        <v>170</v>
      </c>
      <c r="P90" t="s">
        <v>606</v>
      </c>
    </row>
    <row r="91" spans="1:16" x14ac:dyDescent="0.25">
      <c r="A91" t="s">
        <v>171</v>
      </c>
      <c r="B91" t="s">
        <v>233</v>
      </c>
      <c r="C91" t="s">
        <v>56</v>
      </c>
      <c r="D91" t="s">
        <v>61</v>
      </c>
      <c r="E91" t="s">
        <v>62</v>
      </c>
      <c r="F91" t="s">
        <v>63</v>
      </c>
      <c r="G91" t="s">
        <v>63</v>
      </c>
      <c r="H91" s="13" t="s">
        <v>317</v>
      </c>
      <c r="I91">
        <v>31.9</v>
      </c>
      <c r="J91">
        <v>2704557</v>
      </c>
      <c r="K91">
        <v>9.0999999999999998E-2</v>
      </c>
      <c r="L91">
        <v>7.9326956559674602E-2</v>
      </c>
      <c r="M91">
        <v>3.6169370792152898E-2</v>
      </c>
      <c r="N91">
        <v>3.3137781997993498E-2</v>
      </c>
      <c r="O91" s="2" t="s">
        <v>606</v>
      </c>
      <c r="P91" t="s">
        <v>606</v>
      </c>
    </row>
    <row r="92" spans="1:16" x14ac:dyDescent="0.25">
      <c r="A92" t="s">
        <v>172</v>
      </c>
      <c r="B92" t="s">
        <v>233</v>
      </c>
      <c r="C92" t="s">
        <v>56</v>
      </c>
      <c r="D92" t="s">
        <v>68</v>
      </c>
      <c r="E92" t="s">
        <v>173</v>
      </c>
      <c r="F92" s="2" t="s">
        <v>174</v>
      </c>
      <c r="G92" s="47" t="s">
        <v>63</v>
      </c>
      <c r="H92" s="13" t="s">
        <v>286</v>
      </c>
      <c r="I92">
        <v>31.6</v>
      </c>
      <c r="J92">
        <v>2835961</v>
      </c>
      <c r="K92">
        <v>9.8000000000000004E-2</v>
      </c>
      <c r="L92">
        <v>9.4964914230122099E-2</v>
      </c>
      <c r="M92">
        <v>0.11034054919736599</v>
      </c>
      <c r="N92">
        <v>9.4364399811145305E-2</v>
      </c>
      <c r="O92" s="49" t="s">
        <v>608</v>
      </c>
      <c r="P92" s="13" t="s">
        <v>607</v>
      </c>
    </row>
    <row r="93" spans="1:16" x14ac:dyDescent="0.25">
      <c r="A93" t="s">
        <v>175</v>
      </c>
      <c r="B93" t="s">
        <v>233</v>
      </c>
      <c r="C93" t="s">
        <v>56</v>
      </c>
      <c r="D93" t="s">
        <v>61</v>
      </c>
      <c r="E93" t="s">
        <v>58</v>
      </c>
      <c r="F93" t="s">
        <v>63</v>
      </c>
      <c r="G93" t="s">
        <v>63</v>
      </c>
      <c r="H93" s="13" t="s">
        <v>317</v>
      </c>
      <c r="I93">
        <v>33.200000000000003</v>
      </c>
      <c r="J93">
        <v>2196050</v>
      </c>
      <c r="K93">
        <v>0.108</v>
      </c>
      <c r="L93">
        <v>8.99179051319587E-2</v>
      </c>
      <c r="M93">
        <v>2.19938181946015E-2</v>
      </c>
      <c r="N93">
        <v>2.5938556228061099E-2</v>
      </c>
      <c r="O93" s="2" t="s">
        <v>606</v>
      </c>
      <c r="P93" t="s">
        <v>606</v>
      </c>
    </row>
    <row r="94" spans="1:16" x14ac:dyDescent="0.25">
      <c r="A94" t="s">
        <v>176</v>
      </c>
      <c r="B94" t="s">
        <v>233</v>
      </c>
      <c r="C94" t="s">
        <v>56</v>
      </c>
      <c r="D94" t="s">
        <v>61</v>
      </c>
      <c r="E94" t="s">
        <v>62</v>
      </c>
      <c r="F94" t="s">
        <v>63</v>
      </c>
      <c r="G94" t="s">
        <v>63</v>
      </c>
      <c r="H94" s="13" t="s">
        <v>317</v>
      </c>
      <c r="I94">
        <v>40.200000000000003</v>
      </c>
      <c r="J94">
        <v>1625253</v>
      </c>
      <c r="K94">
        <v>0.123</v>
      </c>
      <c r="L94">
        <v>0.107297166464773</v>
      </c>
      <c r="M94">
        <v>9.1951891881697501E-2</v>
      </c>
      <c r="N94">
        <v>5.7446855685458501E-2</v>
      </c>
      <c r="O94" s="2" t="s">
        <v>606</v>
      </c>
      <c r="P94" t="s">
        <v>606</v>
      </c>
    </row>
    <row r="95" spans="1:16" ht="30" x14ac:dyDescent="0.25">
      <c r="A95" t="s">
        <v>177</v>
      </c>
      <c r="B95" t="s">
        <v>233</v>
      </c>
      <c r="C95" t="s">
        <v>56</v>
      </c>
      <c r="D95" t="s">
        <v>57</v>
      </c>
      <c r="E95" t="s">
        <v>58</v>
      </c>
      <c r="F95" s="47" t="s">
        <v>178</v>
      </c>
      <c r="G95" s="2" t="s">
        <v>238</v>
      </c>
      <c r="H95" s="13" t="s">
        <v>267</v>
      </c>
      <c r="I95">
        <v>68.5</v>
      </c>
      <c r="J95">
        <v>1940008</v>
      </c>
      <c r="K95">
        <v>9.8000000000000004E-2</v>
      </c>
      <c r="L95">
        <v>8.3373708364851098E-2</v>
      </c>
      <c r="M95">
        <v>2.9102571338769902E-2</v>
      </c>
      <c r="N95">
        <v>2.86494101211461E-2</v>
      </c>
      <c r="O95" s="2" t="s">
        <v>238</v>
      </c>
      <c r="P95" t="s">
        <v>606</v>
      </c>
    </row>
    <row r="96" spans="1:16" x14ac:dyDescent="0.25">
      <c r="A96" t="s">
        <v>179</v>
      </c>
      <c r="B96" t="s">
        <v>233</v>
      </c>
      <c r="C96" t="s">
        <v>56</v>
      </c>
      <c r="D96" t="s">
        <v>68</v>
      </c>
      <c r="E96" t="s">
        <v>62</v>
      </c>
      <c r="F96" s="2" t="s">
        <v>180</v>
      </c>
      <c r="G96" s="47" t="s">
        <v>63</v>
      </c>
      <c r="H96" s="13" t="s">
        <v>287</v>
      </c>
      <c r="I96">
        <v>91.7</v>
      </c>
      <c r="J96">
        <v>1446803</v>
      </c>
      <c r="K96">
        <v>0.13900000000000001</v>
      </c>
      <c r="L96">
        <v>0.13602739360420499</v>
      </c>
      <c r="M96">
        <v>8.1850612651138105E-2</v>
      </c>
      <c r="N96">
        <v>7.2687779345970899E-2</v>
      </c>
      <c r="O96" s="2" t="s">
        <v>180</v>
      </c>
      <c r="P96" t="s">
        <v>606</v>
      </c>
    </row>
    <row r="97" spans="1:16" x14ac:dyDescent="0.25">
      <c r="A97" t="s">
        <v>181</v>
      </c>
      <c r="B97" t="s">
        <v>233</v>
      </c>
      <c r="C97" t="s">
        <v>56</v>
      </c>
      <c r="D97" t="s">
        <v>61</v>
      </c>
      <c r="E97" t="s">
        <v>58</v>
      </c>
      <c r="F97" t="s">
        <v>63</v>
      </c>
      <c r="G97" t="s">
        <v>63</v>
      </c>
      <c r="H97" s="13" t="s">
        <v>317</v>
      </c>
      <c r="I97">
        <v>43.9</v>
      </c>
      <c r="J97">
        <v>1712048</v>
      </c>
      <c r="K97">
        <v>7.3999999999999996E-2</v>
      </c>
      <c r="L97">
        <v>6.0467685552818701E-2</v>
      </c>
      <c r="M97">
        <v>9.6524366667173397E-3</v>
      </c>
      <c r="N97">
        <v>1.89588097411089E-2</v>
      </c>
      <c r="O97" s="2" t="s">
        <v>606</v>
      </c>
      <c r="P97" t="s">
        <v>606</v>
      </c>
    </row>
    <row r="98" spans="1:16" x14ac:dyDescent="0.25">
      <c r="A98" t="s">
        <v>182</v>
      </c>
      <c r="B98" t="s">
        <v>233</v>
      </c>
      <c r="C98" t="s">
        <v>56</v>
      </c>
      <c r="D98" t="s">
        <v>57</v>
      </c>
      <c r="E98" t="s">
        <v>58</v>
      </c>
      <c r="F98" s="47" t="s">
        <v>183</v>
      </c>
      <c r="G98" s="2" t="s">
        <v>237</v>
      </c>
      <c r="H98" s="13" t="s">
        <v>268</v>
      </c>
      <c r="I98">
        <v>66.8</v>
      </c>
      <c r="J98">
        <v>1714419</v>
      </c>
      <c r="K98">
        <v>0.115</v>
      </c>
      <c r="L98">
        <v>0.112779861943966</v>
      </c>
      <c r="M98">
        <v>0.112648101532717</v>
      </c>
      <c r="N98">
        <v>7.1715972245919302E-2</v>
      </c>
      <c r="O98" s="2" t="s">
        <v>237</v>
      </c>
      <c r="P98" t="s">
        <v>606</v>
      </c>
    </row>
    <row r="99" spans="1:16" x14ac:dyDescent="0.25">
      <c r="A99" t="s">
        <v>184</v>
      </c>
      <c r="B99" t="s">
        <v>233</v>
      </c>
      <c r="C99" t="s">
        <v>56</v>
      </c>
      <c r="D99" t="s">
        <v>61</v>
      </c>
      <c r="E99" t="s">
        <v>62</v>
      </c>
      <c r="F99" t="s">
        <v>63</v>
      </c>
      <c r="G99" t="s">
        <v>63</v>
      </c>
      <c r="H99" s="13" t="s">
        <v>317</v>
      </c>
      <c r="I99">
        <v>67.5</v>
      </c>
      <c r="J99">
        <v>1291380</v>
      </c>
      <c r="K99">
        <v>0.111</v>
      </c>
      <c r="L99">
        <v>9.1489731115723005E-2</v>
      </c>
      <c r="M99">
        <v>3.0020542181509801E-2</v>
      </c>
      <c r="N99">
        <v>2.9560559845438001E-2</v>
      </c>
      <c r="O99" s="2" t="s">
        <v>606</v>
      </c>
      <c r="P99" t="s">
        <v>606</v>
      </c>
    </row>
    <row r="100" spans="1:16" x14ac:dyDescent="0.25">
      <c r="A100" t="s">
        <v>185</v>
      </c>
      <c r="B100" t="s">
        <v>233</v>
      </c>
      <c r="C100" t="s">
        <v>56</v>
      </c>
      <c r="D100" t="s">
        <v>61</v>
      </c>
      <c r="E100" t="s">
        <v>62</v>
      </c>
      <c r="F100" t="s">
        <v>63</v>
      </c>
      <c r="G100" t="s">
        <v>63</v>
      </c>
      <c r="H100" s="13" t="s">
        <v>317</v>
      </c>
      <c r="I100">
        <v>26.2</v>
      </c>
      <c r="J100">
        <v>1546424</v>
      </c>
      <c r="K100">
        <v>9.6000000000000002E-2</v>
      </c>
      <c r="L100">
        <v>7.6211194308245703E-2</v>
      </c>
      <c r="M100">
        <v>2.44152623008944E-2</v>
      </c>
      <c r="N100">
        <v>2.68526526853687E-2</v>
      </c>
      <c r="O100" s="2" t="s">
        <v>606</v>
      </c>
      <c r="P100" t="s">
        <v>606</v>
      </c>
    </row>
    <row r="101" spans="1:16" x14ac:dyDescent="0.25">
      <c r="A101" t="s">
        <v>186</v>
      </c>
      <c r="B101" t="s">
        <v>233</v>
      </c>
      <c r="C101" t="s">
        <v>56</v>
      </c>
      <c r="D101" t="s">
        <v>57</v>
      </c>
      <c r="E101" t="s">
        <v>187</v>
      </c>
      <c r="F101" s="47" t="s">
        <v>188</v>
      </c>
      <c r="G101" s="2" t="s">
        <v>188</v>
      </c>
      <c r="H101" s="13" t="s">
        <v>269</v>
      </c>
      <c r="I101">
        <v>54.2</v>
      </c>
      <c r="J101">
        <v>1424008</v>
      </c>
      <c r="K101">
        <v>0.105</v>
      </c>
      <c r="L101">
        <v>8.8735856422364395E-2</v>
      </c>
      <c r="M101">
        <v>2.6041749413344899E-2</v>
      </c>
      <c r="N101">
        <v>2.56737619477862E-2</v>
      </c>
      <c r="O101" s="2">
        <v>-16</v>
      </c>
      <c r="P101" t="s">
        <v>57</v>
      </c>
    </row>
    <row r="102" spans="1:16" ht="45" x14ac:dyDescent="0.25">
      <c r="A102" t="s">
        <v>189</v>
      </c>
      <c r="B102" t="s">
        <v>233</v>
      </c>
      <c r="C102" t="s">
        <v>56</v>
      </c>
      <c r="D102" t="s">
        <v>57</v>
      </c>
      <c r="E102" t="s">
        <v>62</v>
      </c>
      <c r="F102" s="47" t="s">
        <v>190</v>
      </c>
      <c r="G102" s="2" t="s">
        <v>236</v>
      </c>
      <c r="H102" s="13" t="s">
        <v>270</v>
      </c>
      <c r="I102">
        <v>73.900000000000006</v>
      </c>
      <c r="J102">
        <v>1399016</v>
      </c>
      <c r="K102">
        <v>0.218</v>
      </c>
      <c r="L102">
        <v>0.22531199608223401</v>
      </c>
      <c r="M102">
        <v>0.126571893910808</v>
      </c>
      <c r="N102">
        <v>0.13501635157056899</v>
      </c>
      <c r="O102" s="2" t="s">
        <v>236</v>
      </c>
      <c r="P102" t="s">
        <v>606</v>
      </c>
    </row>
    <row r="103" spans="1:16" x14ac:dyDescent="0.25">
      <c r="A103" t="s">
        <v>191</v>
      </c>
      <c r="B103" t="s">
        <v>233</v>
      </c>
      <c r="C103" t="s">
        <v>56</v>
      </c>
      <c r="D103" t="s">
        <v>61</v>
      </c>
      <c r="E103" t="s">
        <v>62</v>
      </c>
      <c r="F103" t="s">
        <v>63</v>
      </c>
      <c r="G103" t="s">
        <v>63</v>
      </c>
      <c r="H103" s="13" t="s">
        <v>317</v>
      </c>
      <c r="I103">
        <v>78.599999999999994</v>
      </c>
      <c r="J103">
        <v>1725395</v>
      </c>
      <c r="K103">
        <v>0.192</v>
      </c>
      <c r="L103">
        <v>0.16570430045701201</v>
      </c>
      <c r="M103">
        <v>7.3555753261391701E-2</v>
      </c>
      <c r="N103">
        <v>6.8973661404803696E-2</v>
      </c>
      <c r="O103" s="2" t="s">
        <v>606</v>
      </c>
      <c r="P103" t="s">
        <v>606</v>
      </c>
    </row>
    <row r="104" spans="1:16" ht="30" x14ac:dyDescent="0.25">
      <c r="A104" t="s">
        <v>192</v>
      </c>
      <c r="B104" t="s">
        <v>233</v>
      </c>
      <c r="C104" t="s">
        <v>56</v>
      </c>
      <c r="D104" t="s">
        <v>57</v>
      </c>
      <c r="E104" t="s">
        <v>58</v>
      </c>
      <c r="F104" s="47" t="s">
        <v>193</v>
      </c>
      <c r="G104" s="2" t="s">
        <v>235</v>
      </c>
      <c r="H104" s="13" t="s">
        <v>271</v>
      </c>
      <c r="I104">
        <v>97.4</v>
      </c>
      <c r="J104">
        <v>575460</v>
      </c>
      <c r="K104">
        <v>0.19</v>
      </c>
      <c r="L104">
        <v>0.17981838434268799</v>
      </c>
      <c r="M104">
        <v>0.16339847124774301</v>
      </c>
      <c r="N104">
        <v>0.162271575946803</v>
      </c>
      <c r="O104" s="2" t="s">
        <v>235</v>
      </c>
      <c r="P104" t="s">
        <v>606</v>
      </c>
    </row>
    <row r="105" spans="1:16" x14ac:dyDescent="0.25">
      <c r="A105" t="s">
        <v>194</v>
      </c>
      <c r="B105" t="s">
        <v>233</v>
      </c>
      <c r="C105" t="s">
        <v>56</v>
      </c>
      <c r="D105" t="s">
        <v>57</v>
      </c>
      <c r="E105" t="s">
        <v>195</v>
      </c>
      <c r="F105" s="47" t="s">
        <v>196</v>
      </c>
      <c r="G105" s="2" t="s">
        <v>234</v>
      </c>
      <c r="H105" s="13" t="s">
        <v>272</v>
      </c>
      <c r="I105">
        <v>172.7</v>
      </c>
      <c r="J105">
        <v>756533</v>
      </c>
      <c r="K105">
        <v>0.245</v>
      </c>
      <c r="L105">
        <v>0.20524647813097999</v>
      </c>
      <c r="M105">
        <v>9.2285077381613095E-2</v>
      </c>
      <c r="N105">
        <v>8.5944437201136203E-2</v>
      </c>
      <c r="O105" s="2" t="s">
        <v>234</v>
      </c>
      <c r="P105" t="s">
        <v>606</v>
      </c>
    </row>
    <row r="106" spans="1:16" x14ac:dyDescent="0.25">
      <c r="A106" t="s">
        <v>197</v>
      </c>
      <c r="B106" t="s">
        <v>233</v>
      </c>
      <c r="C106" t="s">
        <v>56</v>
      </c>
      <c r="D106" t="s">
        <v>61</v>
      </c>
      <c r="E106" t="s">
        <v>198</v>
      </c>
      <c r="F106" t="s">
        <v>63</v>
      </c>
      <c r="G106" t="s">
        <v>63</v>
      </c>
      <c r="H106" s="13" t="s">
        <v>317</v>
      </c>
      <c r="I106">
        <v>144.5</v>
      </c>
      <c r="J106">
        <v>1309453</v>
      </c>
      <c r="K106">
        <v>0.27700000000000002</v>
      </c>
      <c r="L106">
        <v>0.22894526777006799</v>
      </c>
      <c r="M106">
        <v>9.7077108850661495E-2</v>
      </c>
      <c r="N106">
        <v>9.3144420788474999E-2</v>
      </c>
      <c r="O106" s="2" t="s">
        <v>606</v>
      </c>
      <c r="P106" t="s">
        <v>606</v>
      </c>
    </row>
    <row r="107" spans="1:16" x14ac:dyDescent="0.25">
      <c r="A107" t="s">
        <v>199</v>
      </c>
      <c r="B107" t="s">
        <v>233</v>
      </c>
      <c r="C107" t="s">
        <v>56</v>
      </c>
      <c r="D107" t="s">
        <v>61</v>
      </c>
      <c r="E107" t="s">
        <v>58</v>
      </c>
      <c r="F107" t="s">
        <v>63</v>
      </c>
      <c r="G107" t="s">
        <v>63</v>
      </c>
      <c r="H107" s="13" t="s">
        <v>317</v>
      </c>
      <c r="I107">
        <v>49.3</v>
      </c>
      <c r="J107">
        <v>2403897</v>
      </c>
      <c r="K107">
        <v>8.5000000000000006E-2</v>
      </c>
      <c r="L107">
        <v>7.7050379467021202E-2</v>
      </c>
      <c r="M107">
        <v>4.7016383874524399E-2</v>
      </c>
      <c r="N107">
        <v>3.47241577215174E-2</v>
      </c>
      <c r="O107" s="2" t="s">
        <v>606</v>
      </c>
      <c r="P107" t="s">
        <v>606</v>
      </c>
    </row>
    <row r="108" spans="1:16" x14ac:dyDescent="0.25">
      <c r="A108" t="s">
        <v>200</v>
      </c>
      <c r="B108" t="s">
        <v>233</v>
      </c>
      <c r="C108" t="s">
        <v>56</v>
      </c>
      <c r="D108" t="s">
        <v>61</v>
      </c>
      <c r="E108" t="s">
        <v>62</v>
      </c>
      <c r="F108" t="s">
        <v>63</v>
      </c>
      <c r="G108" t="s">
        <v>63</v>
      </c>
      <c r="H108" s="13" t="s">
        <v>317</v>
      </c>
      <c r="I108">
        <v>33.799999999999997</v>
      </c>
      <c r="J108">
        <v>2503580</v>
      </c>
      <c r="K108">
        <v>8.3000000000000004E-2</v>
      </c>
      <c r="L108">
        <v>6.5833416542088796E-2</v>
      </c>
      <c r="M108">
        <v>1.4498617992221401E-2</v>
      </c>
      <c r="N108">
        <v>1.9871607503850801E-2</v>
      </c>
      <c r="O108" s="2" t="s">
        <v>606</v>
      </c>
      <c r="P108" t="s">
        <v>606</v>
      </c>
    </row>
    <row r="109" spans="1:16" x14ac:dyDescent="0.25">
      <c r="A109" t="s">
        <v>201</v>
      </c>
      <c r="B109" t="s">
        <v>233</v>
      </c>
      <c r="C109" t="s">
        <v>56</v>
      </c>
      <c r="D109" t="s">
        <v>61</v>
      </c>
      <c r="E109" t="s">
        <v>62</v>
      </c>
      <c r="F109" t="s">
        <v>63</v>
      </c>
      <c r="G109" t="s">
        <v>63</v>
      </c>
      <c r="H109" s="13" t="s">
        <v>317</v>
      </c>
      <c r="I109">
        <v>70.599999999999994</v>
      </c>
      <c r="J109">
        <v>1715653</v>
      </c>
      <c r="K109">
        <v>0.11899999999999999</v>
      </c>
      <c r="L109">
        <v>0.100865088227646</v>
      </c>
      <c r="M109">
        <v>8.7214701883290294E-2</v>
      </c>
      <c r="N109">
        <v>6.3838468418231806E-2</v>
      </c>
      <c r="O109" s="2" t="s">
        <v>606</v>
      </c>
      <c r="P109" t="s">
        <v>606</v>
      </c>
    </row>
    <row r="110" spans="1:16" x14ac:dyDescent="0.25">
      <c r="A110" t="s">
        <v>202</v>
      </c>
      <c r="B110" t="s">
        <v>233</v>
      </c>
      <c r="C110" t="s">
        <v>56</v>
      </c>
      <c r="D110" t="s">
        <v>61</v>
      </c>
      <c r="E110" t="s">
        <v>62</v>
      </c>
      <c r="F110" t="s">
        <v>63</v>
      </c>
      <c r="G110" t="s">
        <v>63</v>
      </c>
      <c r="H110" s="13" t="s">
        <v>317</v>
      </c>
      <c r="I110">
        <v>33.1</v>
      </c>
      <c r="J110">
        <v>2108875</v>
      </c>
      <c r="K110">
        <v>0.108</v>
      </c>
      <c r="L110">
        <v>9.0332979833760305E-2</v>
      </c>
      <c r="M110">
        <v>6.0635380438337098E-2</v>
      </c>
      <c r="N110">
        <v>4.9335445006723502E-2</v>
      </c>
      <c r="O110" s="2" t="s">
        <v>606</v>
      </c>
      <c r="P110" t="s">
        <v>606</v>
      </c>
    </row>
    <row r="111" spans="1:16" x14ac:dyDescent="0.25">
      <c r="A111" t="s">
        <v>203</v>
      </c>
      <c r="B111" t="s">
        <v>233</v>
      </c>
      <c r="C111" t="s">
        <v>56</v>
      </c>
      <c r="D111" t="s">
        <v>61</v>
      </c>
      <c r="E111" t="s">
        <v>62</v>
      </c>
      <c r="F111" t="s">
        <v>63</v>
      </c>
      <c r="G111" t="s">
        <v>63</v>
      </c>
      <c r="H111" s="13" t="s">
        <v>317</v>
      </c>
      <c r="I111">
        <v>34.1</v>
      </c>
      <c r="J111">
        <v>1669243</v>
      </c>
      <c r="K111">
        <v>0.10199999999999999</v>
      </c>
      <c r="L111">
        <v>8.4424733421537904E-2</v>
      </c>
      <c r="M111">
        <v>4.0099065262851702E-2</v>
      </c>
      <c r="N111">
        <v>3.8893401877179698E-2</v>
      </c>
      <c r="O111" s="2" t="s">
        <v>606</v>
      </c>
      <c r="P111" t="s">
        <v>606</v>
      </c>
    </row>
    <row r="112" spans="1:16" x14ac:dyDescent="0.25">
      <c r="A112" t="s">
        <v>204</v>
      </c>
      <c r="B112" t="s">
        <v>233</v>
      </c>
      <c r="C112" t="s">
        <v>56</v>
      </c>
      <c r="D112" t="s">
        <v>61</v>
      </c>
      <c r="E112" t="s">
        <v>58</v>
      </c>
      <c r="F112" t="s">
        <v>63</v>
      </c>
      <c r="G112" t="s">
        <v>63</v>
      </c>
      <c r="H112" s="13" t="s">
        <v>317</v>
      </c>
      <c r="I112">
        <v>34.1</v>
      </c>
      <c r="J112">
        <v>1537547</v>
      </c>
      <c r="K112">
        <v>0.111</v>
      </c>
      <c r="L112">
        <v>9.6085816563710194E-2</v>
      </c>
      <c r="M112">
        <v>4.5596823992877497E-2</v>
      </c>
      <c r="N112">
        <v>2.8504853654228599E-2</v>
      </c>
      <c r="O112" s="2" t="s">
        <v>606</v>
      </c>
      <c r="P112" t="s">
        <v>606</v>
      </c>
    </row>
    <row r="113" spans="1:16" s="27" customFormat="1" x14ac:dyDescent="0.25">
      <c r="A113" s="27" t="s">
        <v>205</v>
      </c>
      <c r="B113" s="27" t="s">
        <v>233</v>
      </c>
      <c r="C113" s="27" t="s">
        <v>78</v>
      </c>
      <c r="D113" s="27" t="s">
        <v>79</v>
      </c>
      <c r="E113" s="27" t="s">
        <v>80</v>
      </c>
      <c r="F113" s="27" t="s">
        <v>80</v>
      </c>
      <c r="G113" s="27" t="s">
        <v>80</v>
      </c>
      <c r="H113" s="28" t="s">
        <v>294</v>
      </c>
      <c r="I113" s="27">
        <v>2697.5</v>
      </c>
      <c r="J113" s="27">
        <v>29501</v>
      </c>
      <c r="K113" s="27">
        <v>0.875</v>
      </c>
      <c r="L113" s="27">
        <v>0.61708556169008899</v>
      </c>
      <c r="M113" s="27">
        <v>0.12634180542146201</v>
      </c>
      <c r="N113" s="27">
        <v>0.148422192083659</v>
      </c>
      <c r="O113" s="48" t="s">
        <v>80</v>
      </c>
      <c r="P113" s="27" t="s">
        <v>79</v>
      </c>
    </row>
    <row r="114" spans="1:16" x14ac:dyDescent="0.25">
      <c r="A114" t="s">
        <v>206</v>
      </c>
      <c r="B114" t="s">
        <v>233</v>
      </c>
      <c r="C114" t="s">
        <v>56</v>
      </c>
      <c r="D114" t="s">
        <v>61</v>
      </c>
      <c r="E114" t="s">
        <v>58</v>
      </c>
      <c r="F114" t="s">
        <v>63</v>
      </c>
      <c r="G114" t="s">
        <v>63</v>
      </c>
      <c r="H114" s="13" t="s">
        <v>317</v>
      </c>
      <c r="I114">
        <v>36.799999999999997</v>
      </c>
      <c r="J114">
        <v>4376037</v>
      </c>
      <c r="K114">
        <v>0.126</v>
      </c>
      <c r="L114">
        <v>0.117575322740693</v>
      </c>
      <c r="M114">
        <v>8.6537970097564199E-2</v>
      </c>
      <c r="N114">
        <v>4.5953588074128401E-2</v>
      </c>
      <c r="O114" s="2" t="s">
        <v>606</v>
      </c>
      <c r="P114" t="s">
        <v>606</v>
      </c>
    </row>
    <row r="115" spans="1:16" ht="30" x14ac:dyDescent="0.25">
      <c r="A115" t="s">
        <v>207</v>
      </c>
      <c r="B115" t="s">
        <v>233</v>
      </c>
      <c r="C115" t="s">
        <v>56</v>
      </c>
      <c r="D115" t="s">
        <v>57</v>
      </c>
      <c r="E115" t="s">
        <v>62</v>
      </c>
      <c r="F115" s="47" t="s">
        <v>208</v>
      </c>
      <c r="G115" s="2" t="s">
        <v>208</v>
      </c>
      <c r="H115" s="13" t="s">
        <v>274</v>
      </c>
      <c r="I115">
        <v>127.6</v>
      </c>
      <c r="J115">
        <v>234845</v>
      </c>
      <c r="K115">
        <v>0.25800000000000001</v>
      </c>
      <c r="L115">
        <v>0.21423815539279301</v>
      </c>
      <c r="M115">
        <v>0.10342706977944301</v>
      </c>
      <c r="N115">
        <v>9.0125379665690203E-2</v>
      </c>
      <c r="O115" s="2" t="s">
        <v>208</v>
      </c>
      <c r="P115" t="s">
        <v>606</v>
      </c>
    </row>
    <row r="116" spans="1:16" x14ac:dyDescent="0.25">
      <c r="A116" t="s">
        <v>209</v>
      </c>
      <c r="B116" t="s">
        <v>233</v>
      </c>
      <c r="C116" t="s">
        <v>56</v>
      </c>
      <c r="D116" t="s">
        <v>57</v>
      </c>
      <c r="E116" t="s">
        <v>62</v>
      </c>
      <c r="F116" s="47" t="s">
        <v>59</v>
      </c>
      <c r="G116" s="2" t="s">
        <v>59</v>
      </c>
      <c r="H116" s="13" t="s">
        <v>252</v>
      </c>
      <c r="I116">
        <v>58.5</v>
      </c>
      <c r="J116">
        <v>2668022</v>
      </c>
      <c r="K116">
        <v>7.1999999999999995E-2</v>
      </c>
      <c r="L116">
        <v>5.6081680344164497E-2</v>
      </c>
      <c r="M116">
        <v>1.52884923924677E-2</v>
      </c>
      <c r="N116">
        <v>1.91659526710161E-2</v>
      </c>
      <c r="O116" s="2" t="s">
        <v>59</v>
      </c>
      <c r="P116" t="s">
        <v>606</v>
      </c>
    </row>
    <row r="117" spans="1:16" x14ac:dyDescent="0.25">
      <c r="A117" t="s">
        <v>210</v>
      </c>
      <c r="B117" t="s">
        <v>233</v>
      </c>
      <c r="C117" t="s">
        <v>56</v>
      </c>
      <c r="D117" t="s">
        <v>57</v>
      </c>
      <c r="E117" t="s">
        <v>62</v>
      </c>
      <c r="F117" s="47" t="s">
        <v>211</v>
      </c>
      <c r="G117" s="2" t="s">
        <v>211</v>
      </c>
      <c r="H117" s="13" t="s">
        <v>275</v>
      </c>
      <c r="I117">
        <v>40.6</v>
      </c>
      <c r="J117">
        <v>1712376</v>
      </c>
      <c r="K117">
        <v>9.2999999999999999E-2</v>
      </c>
      <c r="L117">
        <v>7.2984750874470705E-2</v>
      </c>
      <c r="M117">
        <v>2.9044771557583102E-2</v>
      </c>
      <c r="N117">
        <v>2.3095657993301301E-2</v>
      </c>
      <c r="O117" s="2" t="s">
        <v>211</v>
      </c>
      <c r="P117" t="s">
        <v>606</v>
      </c>
    </row>
    <row r="118" spans="1:16" x14ac:dyDescent="0.25">
      <c r="A118" t="s">
        <v>212</v>
      </c>
      <c r="B118" t="s">
        <v>233</v>
      </c>
      <c r="C118" t="s">
        <v>56</v>
      </c>
      <c r="D118" t="s">
        <v>68</v>
      </c>
      <c r="E118" t="s">
        <v>62</v>
      </c>
      <c r="F118" s="2" t="s">
        <v>213</v>
      </c>
      <c r="G118" s="47" t="s">
        <v>250</v>
      </c>
      <c r="H118" s="13" t="s">
        <v>288</v>
      </c>
      <c r="I118">
        <v>52.3</v>
      </c>
      <c r="J118">
        <v>1809767</v>
      </c>
      <c r="K118">
        <v>7.8E-2</v>
      </c>
      <c r="L118">
        <v>7.0039994049460305E-2</v>
      </c>
      <c r="M118">
        <v>0.123360600009115</v>
      </c>
      <c r="N118">
        <v>0.118541603705849</v>
      </c>
      <c r="O118" s="2" t="s">
        <v>213</v>
      </c>
      <c r="P118" t="s">
        <v>606</v>
      </c>
    </row>
    <row r="119" spans="1:16" s="27" customFormat="1" x14ac:dyDescent="0.25">
      <c r="A119" s="27" t="s">
        <v>214</v>
      </c>
      <c r="B119" s="27" t="s">
        <v>233</v>
      </c>
      <c r="C119" s="27" t="s">
        <v>78</v>
      </c>
      <c r="D119" s="27" t="s">
        <v>79</v>
      </c>
      <c r="E119" s="27" t="s">
        <v>80</v>
      </c>
      <c r="F119" s="27" t="s">
        <v>80</v>
      </c>
      <c r="G119" s="27" t="s">
        <v>80</v>
      </c>
      <c r="H119" s="28" t="s">
        <v>293</v>
      </c>
      <c r="I119" s="27">
        <v>682.4</v>
      </c>
      <c r="J119" s="27">
        <v>122991</v>
      </c>
      <c r="K119" s="27">
        <v>0.52800000000000002</v>
      </c>
      <c r="L119" s="27">
        <v>0.364033182925939</v>
      </c>
      <c r="M119" s="27">
        <v>4.3702653939383301E-2</v>
      </c>
      <c r="N119" s="27">
        <v>4.5697817675716103E-2</v>
      </c>
      <c r="O119" s="48" t="s">
        <v>80</v>
      </c>
      <c r="P119" s="27" t="s">
        <v>79</v>
      </c>
    </row>
    <row r="120" spans="1:16" x14ac:dyDescent="0.25">
      <c r="A120" t="s">
        <v>215</v>
      </c>
      <c r="B120" t="s">
        <v>233</v>
      </c>
      <c r="C120" t="s">
        <v>56</v>
      </c>
      <c r="D120" t="s">
        <v>57</v>
      </c>
      <c r="E120" t="s">
        <v>62</v>
      </c>
      <c r="F120" s="47" t="s">
        <v>216</v>
      </c>
      <c r="G120" s="2" t="s">
        <v>216</v>
      </c>
      <c r="H120" s="13" t="s">
        <v>276</v>
      </c>
      <c r="I120">
        <v>60.4</v>
      </c>
      <c r="J120">
        <v>1530096</v>
      </c>
      <c r="K120">
        <v>9.8000000000000004E-2</v>
      </c>
      <c r="L120">
        <v>7.6372719682235704E-2</v>
      </c>
      <c r="M120">
        <v>1.83796073545789E-2</v>
      </c>
      <c r="N120">
        <v>2.1550482151866401E-2</v>
      </c>
      <c r="O120" s="2" t="s">
        <v>216</v>
      </c>
      <c r="P120" t="s">
        <v>606</v>
      </c>
    </row>
    <row r="121" spans="1:16" x14ac:dyDescent="0.25">
      <c r="A121" t="s">
        <v>217</v>
      </c>
      <c r="B121" t="s">
        <v>233</v>
      </c>
      <c r="C121" t="s">
        <v>56</v>
      </c>
      <c r="D121" t="s">
        <v>68</v>
      </c>
      <c r="E121" t="s">
        <v>62</v>
      </c>
      <c r="F121" s="2" t="s">
        <v>218</v>
      </c>
      <c r="G121" s="47" t="s">
        <v>63</v>
      </c>
      <c r="H121" s="13" t="s">
        <v>289</v>
      </c>
      <c r="I121">
        <v>38.9</v>
      </c>
      <c r="J121">
        <v>1786800</v>
      </c>
      <c r="K121">
        <v>0.14499999999999999</v>
      </c>
      <c r="L121">
        <v>0.13213216006957801</v>
      </c>
      <c r="M121">
        <v>0.118289829319476</v>
      </c>
      <c r="N121">
        <v>7.4246483250363302E-2</v>
      </c>
      <c r="O121" s="2" t="s">
        <v>218</v>
      </c>
      <c r="P121" t="s">
        <v>606</v>
      </c>
    </row>
    <row r="122" spans="1:16" s="27" customFormat="1" x14ac:dyDescent="0.25">
      <c r="A122" s="27" t="s">
        <v>219</v>
      </c>
      <c r="B122" s="27" t="s">
        <v>233</v>
      </c>
      <c r="C122" s="27" t="s">
        <v>78</v>
      </c>
      <c r="D122" s="27" t="s">
        <v>79</v>
      </c>
      <c r="E122" s="27" t="s">
        <v>80</v>
      </c>
      <c r="F122" s="27" t="s">
        <v>80</v>
      </c>
      <c r="G122" s="27" t="s">
        <v>80</v>
      </c>
      <c r="H122" s="28" t="s">
        <v>293</v>
      </c>
      <c r="I122" s="27">
        <v>1628.3</v>
      </c>
      <c r="J122" s="27">
        <v>145391</v>
      </c>
      <c r="K122" s="27">
        <v>0.59499999999999997</v>
      </c>
      <c r="L122" s="27">
        <v>0.43044316211732198</v>
      </c>
      <c r="M122" s="27">
        <v>0.123825923826972</v>
      </c>
      <c r="N122" s="27">
        <v>0.105074231987646</v>
      </c>
      <c r="O122" s="48" t="s">
        <v>80</v>
      </c>
      <c r="P122" s="27" t="s">
        <v>79</v>
      </c>
    </row>
    <row r="123" spans="1:16" x14ac:dyDescent="0.25">
      <c r="A123" t="s">
        <v>220</v>
      </c>
      <c r="B123" t="s">
        <v>233</v>
      </c>
      <c r="C123" t="s">
        <v>56</v>
      </c>
      <c r="D123" t="s">
        <v>61</v>
      </c>
      <c r="E123" t="s">
        <v>58</v>
      </c>
      <c r="F123" t="s">
        <v>63</v>
      </c>
      <c r="G123" t="s">
        <v>63</v>
      </c>
      <c r="H123" s="13" t="s">
        <v>317</v>
      </c>
      <c r="I123">
        <v>158.19999999999999</v>
      </c>
      <c r="J123">
        <v>37832</v>
      </c>
      <c r="K123">
        <v>0.41899999999999998</v>
      </c>
      <c r="L123">
        <v>0.300011345867986</v>
      </c>
      <c r="M123">
        <v>5.0882173847700801E-2</v>
      </c>
      <c r="N123">
        <v>4.57199627213088E-2</v>
      </c>
      <c r="O123" s="2" t="s">
        <v>606</v>
      </c>
      <c r="P123" t="s">
        <v>606</v>
      </c>
    </row>
    <row r="124" spans="1:16" ht="30" x14ac:dyDescent="0.25">
      <c r="A124" t="s">
        <v>221</v>
      </c>
      <c r="B124" t="s">
        <v>233</v>
      </c>
      <c r="C124" t="s">
        <v>56</v>
      </c>
      <c r="D124" t="s">
        <v>57</v>
      </c>
      <c r="E124" t="s">
        <v>62</v>
      </c>
      <c r="F124" s="47" t="s">
        <v>222</v>
      </c>
      <c r="G124" s="2" t="s">
        <v>251</v>
      </c>
      <c r="H124" s="13" t="s">
        <v>277</v>
      </c>
      <c r="I124">
        <v>48</v>
      </c>
      <c r="J124">
        <v>912774</v>
      </c>
      <c r="K124">
        <v>0.14099999999999999</v>
      </c>
      <c r="L124">
        <v>0.12349467568134</v>
      </c>
      <c r="M124">
        <v>8.1245125179958994E-2</v>
      </c>
      <c r="N124">
        <v>8.89704377025404E-2</v>
      </c>
      <c r="O124" s="2" t="s">
        <v>251</v>
      </c>
      <c r="P124" t="s">
        <v>606</v>
      </c>
    </row>
    <row r="125" spans="1:16" x14ac:dyDescent="0.25">
      <c r="A125" t="s">
        <v>223</v>
      </c>
      <c r="B125" t="s">
        <v>233</v>
      </c>
      <c r="C125" t="s">
        <v>56</v>
      </c>
      <c r="D125" t="s">
        <v>61</v>
      </c>
      <c r="E125" t="s">
        <v>62</v>
      </c>
      <c r="F125" t="s">
        <v>63</v>
      </c>
      <c r="G125" t="s">
        <v>63</v>
      </c>
      <c r="H125" s="13" t="s">
        <v>317</v>
      </c>
      <c r="I125">
        <v>24.1</v>
      </c>
      <c r="J125">
        <v>3668978</v>
      </c>
      <c r="K125">
        <v>9.5000000000000001E-2</v>
      </c>
      <c r="L125">
        <v>7.9721319705053903E-2</v>
      </c>
      <c r="M125">
        <v>7.2042550790891294E-2</v>
      </c>
      <c r="N125">
        <v>5.6631409950739002E-2</v>
      </c>
      <c r="O125" s="2" t="s">
        <v>606</v>
      </c>
      <c r="P125" t="s">
        <v>606</v>
      </c>
    </row>
    <row r="126" spans="1:16" x14ac:dyDescent="0.25">
      <c r="A126" t="s">
        <v>224</v>
      </c>
      <c r="B126" t="s">
        <v>233</v>
      </c>
      <c r="C126" t="s">
        <v>56</v>
      </c>
      <c r="D126" t="s">
        <v>61</v>
      </c>
      <c r="E126" t="s">
        <v>62</v>
      </c>
      <c r="F126" t="s">
        <v>63</v>
      </c>
      <c r="G126" t="s">
        <v>63</v>
      </c>
      <c r="H126" s="13" t="s">
        <v>317</v>
      </c>
      <c r="I126">
        <v>64.400000000000006</v>
      </c>
      <c r="J126">
        <v>1483610</v>
      </c>
      <c r="K126">
        <v>0.122</v>
      </c>
      <c r="L126">
        <v>0.111782073065979</v>
      </c>
      <c r="M126">
        <v>9.6242789669028203E-2</v>
      </c>
      <c r="N126">
        <v>3.9929489716240003E-2</v>
      </c>
      <c r="O126" s="2" t="s">
        <v>606</v>
      </c>
      <c r="P126" t="s">
        <v>606</v>
      </c>
    </row>
    <row r="127" spans="1:16" x14ac:dyDescent="0.25">
      <c r="A127" t="s">
        <v>225</v>
      </c>
      <c r="B127" t="s">
        <v>233</v>
      </c>
      <c r="C127" t="s">
        <v>56</v>
      </c>
      <c r="D127" t="s">
        <v>61</v>
      </c>
      <c r="E127" t="s">
        <v>58</v>
      </c>
      <c r="F127" t="s">
        <v>63</v>
      </c>
      <c r="G127" t="s">
        <v>63</v>
      </c>
      <c r="H127" s="13" t="s">
        <v>317</v>
      </c>
      <c r="I127">
        <v>56.5</v>
      </c>
      <c r="J127">
        <v>1508162</v>
      </c>
      <c r="K127">
        <v>9.5000000000000001E-2</v>
      </c>
      <c r="L127">
        <v>8.1967740542317896E-2</v>
      </c>
      <c r="M127">
        <v>2.1836794402077E-2</v>
      </c>
      <c r="N127">
        <v>2.1232502537090199E-2</v>
      </c>
      <c r="O127" s="2" t="s">
        <v>606</v>
      </c>
      <c r="P127" t="s">
        <v>606</v>
      </c>
    </row>
    <row r="128" spans="1:16" x14ac:dyDescent="0.25">
      <c r="A128" t="s">
        <v>226</v>
      </c>
      <c r="B128" t="s">
        <v>233</v>
      </c>
      <c r="C128" t="s">
        <v>56</v>
      </c>
      <c r="D128" t="s">
        <v>68</v>
      </c>
      <c r="E128" t="s">
        <v>62</v>
      </c>
      <c r="F128" s="2" t="s">
        <v>227</v>
      </c>
      <c r="G128" s="47" t="s">
        <v>63</v>
      </c>
      <c r="H128" s="13" t="s">
        <v>290</v>
      </c>
      <c r="I128">
        <v>65.900000000000006</v>
      </c>
      <c r="J128">
        <v>1583142</v>
      </c>
      <c r="K128">
        <v>0.109</v>
      </c>
      <c r="L128">
        <v>9.4986838477608096E-2</v>
      </c>
      <c r="M128">
        <v>6.98766717085572E-2</v>
      </c>
      <c r="N128">
        <v>3.4640815627303402E-2</v>
      </c>
      <c r="O128" s="2" t="s">
        <v>227</v>
      </c>
      <c r="P128" t="s">
        <v>606</v>
      </c>
    </row>
    <row r="129" spans="1:16" x14ac:dyDescent="0.25">
      <c r="A129" t="s">
        <v>228</v>
      </c>
      <c r="B129" t="s">
        <v>233</v>
      </c>
      <c r="C129" t="s">
        <v>56</v>
      </c>
      <c r="D129" t="s">
        <v>68</v>
      </c>
      <c r="E129" t="s">
        <v>229</v>
      </c>
      <c r="F129" s="2" t="s">
        <v>230</v>
      </c>
      <c r="G129" s="47" t="s">
        <v>63</v>
      </c>
      <c r="H129" s="13" t="s">
        <v>291</v>
      </c>
      <c r="I129">
        <v>32.9</v>
      </c>
      <c r="J129">
        <v>2461926</v>
      </c>
      <c r="K129">
        <v>0.08</v>
      </c>
      <c r="L129">
        <v>6.5277309182341398E-2</v>
      </c>
      <c r="M129">
        <v>4.8284923781773001E-2</v>
      </c>
      <c r="N129">
        <v>5.2800440048697099E-2</v>
      </c>
      <c r="O129" s="2" t="s">
        <v>606</v>
      </c>
      <c r="P129" s="13" t="s">
        <v>609</v>
      </c>
    </row>
    <row r="130" spans="1:16" s="27" customFormat="1" x14ac:dyDescent="0.25">
      <c r="A130" s="27" t="s">
        <v>231</v>
      </c>
      <c r="B130" s="27" t="s">
        <v>233</v>
      </c>
      <c r="C130" s="27" t="s">
        <v>78</v>
      </c>
      <c r="D130" s="27" t="s">
        <v>79</v>
      </c>
      <c r="E130" s="27" t="s">
        <v>80</v>
      </c>
      <c r="F130" s="27" t="s">
        <v>80</v>
      </c>
      <c r="G130" s="27" t="s">
        <v>80</v>
      </c>
      <c r="H130" s="28" t="s">
        <v>295</v>
      </c>
      <c r="I130" s="27">
        <v>88.5</v>
      </c>
      <c r="J130" s="27">
        <v>2081290</v>
      </c>
      <c r="K130" s="27">
        <v>0.17799999999999999</v>
      </c>
      <c r="L130" s="27">
        <v>0.51738761335398398</v>
      </c>
      <c r="M130" s="27">
        <v>0.49207454090331798</v>
      </c>
      <c r="N130" s="27">
        <v>0.46477382182129101</v>
      </c>
      <c r="O130" s="48" t="s">
        <v>80</v>
      </c>
      <c r="P130" s="27" t="s">
        <v>79</v>
      </c>
    </row>
    <row r="131" spans="1:16" x14ac:dyDescent="0.25">
      <c r="A131" t="s">
        <v>232</v>
      </c>
      <c r="B131" t="s">
        <v>233</v>
      </c>
      <c r="C131" t="s">
        <v>56</v>
      </c>
      <c r="D131" t="s">
        <v>61</v>
      </c>
      <c r="E131" t="s">
        <v>58</v>
      </c>
      <c r="F131" t="s">
        <v>63</v>
      </c>
      <c r="G131" t="s">
        <v>63</v>
      </c>
      <c r="H131" s="13" t="s">
        <v>317</v>
      </c>
      <c r="I131">
        <v>66.099999999999994</v>
      </c>
      <c r="J131">
        <v>1565332</v>
      </c>
      <c r="K131">
        <v>9.6000000000000002E-2</v>
      </c>
      <c r="L131">
        <v>7.9151603345469598E-2</v>
      </c>
      <c r="M131">
        <v>4.4328627745129801E-2</v>
      </c>
      <c r="N131">
        <v>2.99482957453585E-2</v>
      </c>
      <c r="O131" s="2" t="s">
        <v>606</v>
      </c>
      <c r="P131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B155-CC38-43A4-BF81-0C473B2BF847}">
  <dimension ref="A1:EU45"/>
  <sheetViews>
    <sheetView tabSelected="1" topLeftCell="A18" workbookViewId="0">
      <selection activeCell="K37" sqref="K37"/>
    </sheetView>
  </sheetViews>
  <sheetFormatPr defaultRowHeight="15" x14ac:dyDescent="0.25"/>
  <cols>
    <col min="2" max="2" width="10.28515625" bestFit="1" customWidth="1"/>
    <col min="3" max="3" width="11.42578125" customWidth="1"/>
    <col min="4" max="4" width="12.5703125" customWidth="1"/>
    <col min="8" max="8" width="42.7109375" style="2" customWidth="1"/>
    <col min="9" max="9" width="25.5703125" customWidth="1"/>
    <col min="10" max="10" width="11.140625" customWidth="1"/>
    <col min="11" max="11" width="20.42578125" customWidth="1"/>
  </cols>
  <sheetData>
    <row r="1" spans="1:151" ht="15.75" thickBot="1" x14ac:dyDescent="0.3">
      <c r="A1" s="21" t="s">
        <v>49</v>
      </c>
      <c r="B1" s="8" t="s">
        <v>27</v>
      </c>
      <c r="C1" s="22" t="s">
        <v>28</v>
      </c>
      <c r="D1" s="8" t="s">
        <v>29</v>
      </c>
      <c r="E1" s="8" t="s">
        <v>47</v>
      </c>
      <c r="F1" s="8" t="s">
        <v>30</v>
      </c>
      <c r="G1" s="23" t="s">
        <v>31</v>
      </c>
      <c r="H1" s="50" t="s">
        <v>32</v>
      </c>
      <c r="I1" s="8" t="s">
        <v>33</v>
      </c>
      <c r="J1" s="24" t="s">
        <v>34</v>
      </c>
      <c r="K1" s="8" t="s">
        <v>17</v>
      </c>
      <c r="L1" s="24" t="s">
        <v>18</v>
      </c>
      <c r="M1" s="8" t="s">
        <v>19</v>
      </c>
      <c r="N1" s="8" t="s">
        <v>35</v>
      </c>
      <c r="O1" s="8" t="s">
        <v>21</v>
      </c>
      <c r="P1" s="8" t="s">
        <v>36</v>
      </c>
      <c r="Q1" s="8" t="s">
        <v>50</v>
      </c>
      <c r="R1" s="25" t="s">
        <v>37</v>
      </c>
      <c r="S1" s="8" t="s">
        <v>38</v>
      </c>
      <c r="T1" s="8" t="s">
        <v>51</v>
      </c>
      <c r="U1" s="8" t="s">
        <v>52</v>
      </c>
      <c r="V1" s="24" t="s">
        <v>53</v>
      </c>
      <c r="W1" s="24" t="s">
        <v>39</v>
      </c>
      <c r="X1" s="26" t="s">
        <v>40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</row>
    <row r="2" spans="1:151" ht="15.75" thickBot="1" x14ac:dyDescent="0.3">
      <c r="A2" s="6"/>
      <c r="B2" s="40">
        <v>46046</v>
      </c>
      <c r="C2" s="40">
        <v>46049</v>
      </c>
      <c r="D2" s="40">
        <v>46049</v>
      </c>
      <c r="E2" s="6" t="s">
        <v>362</v>
      </c>
      <c r="F2" s="33" t="s">
        <v>79</v>
      </c>
      <c r="G2" s="41" t="s">
        <v>363</v>
      </c>
      <c r="H2" s="51" t="s">
        <v>364</v>
      </c>
      <c r="I2" s="53" t="s">
        <v>365</v>
      </c>
      <c r="J2" s="11">
        <v>2</v>
      </c>
      <c r="K2" s="6" t="s">
        <v>342</v>
      </c>
      <c r="L2" s="6" t="s">
        <v>319</v>
      </c>
      <c r="M2" s="6" t="s">
        <v>320</v>
      </c>
      <c r="N2" s="6" t="s">
        <v>321</v>
      </c>
      <c r="O2" s="6" t="s">
        <v>322</v>
      </c>
      <c r="P2" s="6" t="s">
        <v>343</v>
      </c>
      <c r="Q2" s="40">
        <v>46051</v>
      </c>
      <c r="R2" s="33" t="s">
        <v>366</v>
      </c>
      <c r="S2" s="6" t="s">
        <v>362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</row>
    <row r="3" spans="1:151" ht="15.75" thickBot="1" x14ac:dyDescent="0.3">
      <c r="A3" s="6"/>
      <c r="B3" s="40">
        <v>46045</v>
      </c>
      <c r="C3" s="40">
        <v>46049</v>
      </c>
      <c r="D3" s="40">
        <v>46049</v>
      </c>
      <c r="E3" s="6" t="s">
        <v>362</v>
      </c>
      <c r="F3" s="33" t="s">
        <v>79</v>
      </c>
      <c r="G3" s="33" t="s">
        <v>367</v>
      </c>
      <c r="H3" s="51" t="s">
        <v>364</v>
      </c>
      <c r="I3" s="53" t="s">
        <v>368</v>
      </c>
      <c r="J3" s="11">
        <v>1</v>
      </c>
      <c r="K3" s="6" t="s">
        <v>369</v>
      </c>
      <c r="L3" s="6" t="s">
        <v>335</v>
      </c>
      <c r="M3" s="6" t="s">
        <v>320</v>
      </c>
      <c r="N3" s="6" t="s">
        <v>321</v>
      </c>
      <c r="O3" s="6" t="s">
        <v>322</v>
      </c>
      <c r="P3" s="6" t="s">
        <v>323</v>
      </c>
      <c r="Q3" s="40">
        <v>46051</v>
      </c>
      <c r="R3" s="33" t="s">
        <v>366</v>
      </c>
      <c r="S3" s="6" t="s">
        <v>362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</row>
    <row r="4" spans="1:151" ht="116.25" thickBot="1" x14ac:dyDescent="0.3">
      <c r="A4" s="6"/>
      <c r="B4" s="40">
        <v>46047</v>
      </c>
      <c r="C4" s="40">
        <v>46049</v>
      </c>
      <c r="D4" s="40">
        <v>46049</v>
      </c>
      <c r="E4" s="6" t="s">
        <v>362</v>
      </c>
      <c r="F4" s="33" t="s">
        <v>79</v>
      </c>
      <c r="G4" s="33" t="s">
        <v>370</v>
      </c>
      <c r="H4" s="51" t="s">
        <v>371</v>
      </c>
      <c r="I4" s="53" t="s">
        <v>298</v>
      </c>
      <c r="J4" s="11">
        <v>3</v>
      </c>
      <c r="K4" s="6" t="s">
        <v>318</v>
      </c>
      <c r="L4" s="6" t="s">
        <v>319</v>
      </c>
      <c r="M4" s="6" t="s">
        <v>320</v>
      </c>
      <c r="N4" s="6" t="s">
        <v>321</v>
      </c>
      <c r="O4" s="6" t="s">
        <v>322</v>
      </c>
      <c r="P4" s="6" t="s">
        <v>323</v>
      </c>
      <c r="Q4" s="40">
        <v>46051</v>
      </c>
      <c r="R4" s="33" t="s">
        <v>366</v>
      </c>
      <c r="S4" s="6" t="s">
        <v>362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</row>
    <row r="5" spans="1:151" ht="15.75" thickBot="1" x14ac:dyDescent="0.3">
      <c r="A5" s="6"/>
      <c r="B5" s="40">
        <v>46049</v>
      </c>
      <c r="C5" s="40">
        <v>46049</v>
      </c>
      <c r="D5" s="40">
        <v>46049</v>
      </c>
      <c r="E5" s="6" t="s">
        <v>362</v>
      </c>
      <c r="F5" s="6" t="s">
        <v>372</v>
      </c>
      <c r="G5" s="33" t="s">
        <v>373</v>
      </c>
      <c r="H5" s="51"/>
      <c r="I5" s="53" t="s">
        <v>374</v>
      </c>
      <c r="J5" s="11">
        <v>4</v>
      </c>
      <c r="K5" s="6" t="s">
        <v>375</v>
      </c>
      <c r="L5" s="6" t="s">
        <v>376</v>
      </c>
      <c r="M5" s="6" t="s">
        <v>320</v>
      </c>
      <c r="N5" s="6" t="s">
        <v>377</v>
      </c>
      <c r="O5" s="6" t="s">
        <v>322</v>
      </c>
      <c r="P5" s="6" t="s">
        <v>378</v>
      </c>
      <c r="Q5" s="40">
        <v>46051</v>
      </c>
      <c r="R5" s="33" t="s">
        <v>366</v>
      </c>
      <c r="S5" s="6" t="s">
        <v>362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</row>
    <row r="6" spans="1:151" ht="15.75" thickBot="1" x14ac:dyDescent="0.3">
      <c r="A6" s="6"/>
      <c r="B6" s="40">
        <v>46043</v>
      </c>
      <c r="C6" s="40">
        <v>46049</v>
      </c>
      <c r="D6" s="40">
        <v>46049</v>
      </c>
      <c r="E6" s="6" t="s">
        <v>362</v>
      </c>
      <c r="F6" s="6" t="s">
        <v>379</v>
      </c>
      <c r="G6" s="33" t="s">
        <v>380</v>
      </c>
      <c r="H6" s="51"/>
      <c r="I6" s="53" t="s">
        <v>381</v>
      </c>
      <c r="J6" s="11">
        <v>5</v>
      </c>
      <c r="K6" s="6" t="s">
        <v>352</v>
      </c>
      <c r="L6" s="6" t="s">
        <v>353</v>
      </c>
      <c r="M6" s="6" t="s">
        <v>320</v>
      </c>
      <c r="N6" s="6" t="s">
        <v>354</v>
      </c>
      <c r="O6" s="6" t="s">
        <v>355</v>
      </c>
      <c r="P6" s="6" t="s">
        <v>356</v>
      </c>
      <c r="Q6" s="40">
        <v>46051</v>
      </c>
      <c r="R6" s="33" t="s">
        <v>366</v>
      </c>
      <c r="S6" s="6" t="s">
        <v>362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</row>
    <row r="7" spans="1:151" ht="180" thickBot="1" x14ac:dyDescent="0.3">
      <c r="A7" s="6"/>
      <c r="B7" s="40">
        <v>46044</v>
      </c>
      <c r="C7" s="40">
        <v>46049</v>
      </c>
      <c r="D7" s="40">
        <v>46049</v>
      </c>
      <c r="E7" s="6" t="s">
        <v>362</v>
      </c>
      <c r="F7" s="6" t="s">
        <v>382</v>
      </c>
      <c r="G7" s="33" t="s">
        <v>383</v>
      </c>
      <c r="H7" s="51" t="s">
        <v>384</v>
      </c>
      <c r="I7" s="53" t="s">
        <v>385</v>
      </c>
      <c r="J7" s="11">
        <v>2</v>
      </c>
      <c r="K7" s="6" t="s">
        <v>386</v>
      </c>
      <c r="L7" s="6" t="s">
        <v>387</v>
      </c>
      <c r="M7" s="6" t="s">
        <v>320</v>
      </c>
      <c r="N7" s="6" t="s">
        <v>388</v>
      </c>
      <c r="O7" s="6" t="s">
        <v>322</v>
      </c>
      <c r="P7" s="6" t="s">
        <v>389</v>
      </c>
      <c r="Q7" s="40">
        <v>46051</v>
      </c>
      <c r="R7" s="33" t="s">
        <v>366</v>
      </c>
      <c r="S7" s="6" t="s">
        <v>362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</row>
    <row r="8" spans="1:151" ht="15.75" thickBot="1" x14ac:dyDescent="0.3">
      <c r="A8" s="6"/>
      <c r="B8" s="40">
        <v>46047</v>
      </c>
      <c r="C8" s="40">
        <v>46049</v>
      </c>
      <c r="D8" s="40">
        <v>46049</v>
      </c>
      <c r="E8" s="6" t="s">
        <v>362</v>
      </c>
      <c r="F8" s="6" t="s">
        <v>390</v>
      </c>
      <c r="G8" s="6" t="s">
        <v>391</v>
      </c>
      <c r="H8" s="51"/>
      <c r="I8" s="53" t="s">
        <v>392</v>
      </c>
      <c r="J8" s="11">
        <v>3</v>
      </c>
      <c r="K8" s="6" t="s">
        <v>348</v>
      </c>
      <c r="L8" s="6" t="s">
        <v>330</v>
      </c>
      <c r="M8" s="6" t="s">
        <v>320</v>
      </c>
      <c r="N8" s="6" t="s">
        <v>349</v>
      </c>
      <c r="O8" s="6" t="s">
        <v>350</v>
      </c>
      <c r="P8" s="6" t="s">
        <v>351</v>
      </c>
      <c r="Q8" s="40">
        <v>46051</v>
      </c>
      <c r="R8" s="33" t="s">
        <v>366</v>
      </c>
      <c r="S8" s="6" t="s">
        <v>362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</row>
    <row r="9" spans="1:151" ht="15.75" thickBot="1" x14ac:dyDescent="0.3">
      <c r="A9" s="6"/>
      <c r="B9" s="40">
        <v>46049</v>
      </c>
      <c r="C9" s="40">
        <v>46050</v>
      </c>
      <c r="D9" s="40">
        <v>46050</v>
      </c>
      <c r="E9" s="6" t="s">
        <v>362</v>
      </c>
      <c r="F9" s="6" t="s">
        <v>393</v>
      </c>
      <c r="G9" s="6" t="s">
        <v>394</v>
      </c>
      <c r="H9" s="51"/>
      <c r="I9" s="53" t="s">
        <v>395</v>
      </c>
      <c r="J9" s="11">
        <v>4</v>
      </c>
      <c r="K9" s="6" t="s">
        <v>396</v>
      </c>
      <c r="L9" s="6" t="s">
        <v>397</v>
      </c>
      <c r="M9" s="6" t="s">
        <v>320</v>
      </c>
      <c r="N9" s="6" t="s">
        <v>398</v>
      </c>
      <c r="O9" s="6" t="s">
        <v>340</v>
      </c>
      <c r="P9" s="6" t="s">
        <v>399</v>
      </c>
      <c r="Q9" s="40">
        <v>46051</v>
      </c>
      <c r="R9" s="33" t="s">
        <v>366</v>
      </c>
      <c r="S9" s="6" t="s">
        <v>362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</row>
    <row r="10" spans="1:151" ht="15.75" thickBot="1" x14ac:dyDescent="0.3">
      <c r="A10" s="6"/>
      <c r="B10" s="40">
        <v>46049</v>
      </c>
      <c r="C10" s="40">
        <v>46050</v>
      </c>
      <c r="D10" s="40">
        <v>46050</v>
      </c>
      <c r="E10" s="6" t="s">
        <v>362</v>
      </c>
      <c r="F10" s="6" t="s">
        <v>400</v>
      </c>
      <c r="G10" s="6" t="s">
        <v>401</v>
      </c>
      <c r="H10" s="51"/>
      <c r="I10" s="53" t="s">
        <v>402</v>
      </c>
      <c r="J10" s="11">
        <v>2</v>
      </c>
      <c r="K10" s="6" t="s">
        <v>357</v>
      </c>
      <c r="L10" s="6" t="s">
        <v>358</v>
      </c>
      <c r="M10" s="6" t="s">
        <v>320</v>
      </c>
      <c r="N10" s="6" t="s">
        <v>359</v>
      </c>
      <c r="O10" s="6" t="s">
        <v>360</v>
      </c>
      <c r="P10" s="6" t="s">
        <v>361</v>
      </c>
      <c r="Q10" s="40">
        <v>46051</v>
      </c>
      <c r="R10" s="33" t="s">
        <v>366</v>
      </c>
      <c r="S10" s="6" t="s">
        <v>362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</row>
    <row r="11" spans="1:151" ht="15.75" thickBot="1" x14ac:dyDescent="0.3">
      <c r="A11" s="6"/>
      <c r="B11" s="40">
        <v>46047</v>
      </c>
      <c r="C11" s="40">
        <v>46050</v>
      </c>
      <c r="D11" s="40">
        <v>46050</v>
      </c>
      <c r="E11" s="6" t="s">
        <v>362</v>
      </c>
      <c r="F11" s="6" t="s">
        <v>403</v>
      </c>
      <c r="G11" s="6" t="s">
        <v>404</v>
      </c>
      <c r="H11" s="51"/>
      <c r="I11" s="53" t="s">
        <v>405</v>
      </c>
      <c r="J11" s="11">
        <v>2</v>
      </c>
      <c r="K11" s="6" t="s">
        <v>406</v>
      </c>
      <c r="L11" s="6" t="s">
        <v>407</v>
      </c>
      <c r="M11" s="6" t="s">
        <v>320</v>
      </c>
      <c r="N11" s="6" t="s">
        <v>408</v>
      </c>
      <c r="O11" s="6" t="s">
        <v>340</v>
      </c>
      <c r="P11" s="6" t="s">
        <v>409</v>
      </c>
      <c r="Q11" s="40">
        <v>46051</v>
      </c>
      <c r="R11" s="33" t="s">
        <v>366</v>
      </c>
      <c r="S11" s="6" t="s">
        <v>362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</row>
    <row r="12" spans="1:151" ht="15.75" thickBot="1" x14ac:dyDescent="0.3">
      <c r="A12" s="6"/>
      <c r="B12" s="40">
        <v>46046</v>
      </c>
      <c r="C12" s="40">
        <v>46050</v>
      </c>
      <c r="D12" s="40">
        <v>46050</v>
      </c>
      <c r="E12" s="6" t="s">
        <v>362</v>
      </c>
      <c r="F12" s="6" t="s">
        <v>410</v>
      </c>
      <c r="G12" s="6" t="s">
        <v>411</v>
      </c>
      <c r="H12" s="51"/>
      <c r="I12" s="53" t="s">
        <v>412</v>
      </c>
      <c r="J12" s="11">
        <v>1</v>
      </c>
      <c r="K12" s="6" t="s">
        <v>413</v>
      </c>
      <c r="L12" s="6" t="s">
        <v>414</v>
      </c>
      <c r="M12" s="6" t="s">
        <v>320</v>
      </c>
      <c r="N12" s="6" t="s">
        <v>415</v>
      </c>
      <c r="O12" s="6" t="s">
        <v>340</v>
      </c>
      <c r="P12" s="6" t="s">
        <v>416</v>
      </c>
      <c r="Q12" s="40">
        <v>46051</v>
      </c>
      <c r="R12" s="33" t="s">
        <v>366</v>
      </c>
      <c r="S12" s="6" t="s">
        <v>362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</row>
    <row r="13" spans="1:151" ht="15.75" thickBot="1" x14ac:dyDescent="0.3">
      <c r="A13" s="6"/>
      <c r="B13" s="6" t="s">
        <v>417</v>
      </c>
      <c r="C13" s="40">
        <v>46050</v>
      </c>
      <c r="D13" s="40">
        <v>46050</v>
      </c>
      <c r="E13" s="6" t="s">
        <v>362</v>
      </c>
      <c r="F13" s="6" t="s">
        <v>418</v>
      </c>
      <c r="G13" s="6" t="s">
        <v>419</v>
      </c>
      <c r="H13" s="51"/>
      <c r="I13" s="53" t="s">
        <v>420</v>
      </c>
      <c r="J13" s="11">
        <v>3</v>
      </c>
      <c r="K13" s="6" t="s">
        <v>421</v>
      </c>
      <c r="L13" s="6" t="s">
        <v>376</v>
      </c>
      <c r="M13" s="6" t="s">
        <v>320</v>
      </c>
      <c r="N13" s="10" t="s">
        <v>422</v>
      </c>
      <c r="O13" s="6"/>
      <c r="P13" s="6" t="s">
        <v>423</v>
      </c>
      <c r="Q13" s="40">
        <v>46051</v>
      </c>
      <c r="R13" s="33" t="s">
        <v>366</v>
      </c>
      <c r="S13" s="6" t="s">
        <v>362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</row>
    <row r="14" spans="1:151" ht="15.75" thickBot="1" x14ac:dyDescent="0.3">
      <c r="A14" s="6"/>
      <c r="B14" s="40">
        <v>46050</v>
      </c>
      <c r="C14" s="40">
        <v>46051</v>
      </c>
      <c r="D14" s="40">
        <v>46051</v>
      </c>
      <c r="E14" s="6" t="s">
        <v>424</v>
      </c>
      <c r="F14" s="6" t="s">
        <v>425</v>
      </c>
      <c r="G14" s="6" t="s">
        <v>426</v>
      </c>
      <c r="H14" s="51"/>
      <c r="I14" s="53" t="s">
        <v>310</v>
      </c>
      <c r="J14" s="11">
        <v>3</v>
      </c>
      <c r="K14" s="6" t="s">
        <v>344</v>
      </c>
      <c r="L14" s="6" t="s">
        <v>345</v>
      </c>
      <c r="M14" s="6" t="s">
        <v>320</v>
      </c>
      <c r="N14" s="6" t="s">
        <v>346</v>
      </c>
      <c r="O14" s="6" t="s">
        <v>322</v>
      </c>
      <c r="P14" s="6" t="s">
        <v>347</v>
      </c>
      <c r="Q14" s="40">
        <v>46051</v>
      </c>
      <c r="R14" s="33" t="s">
        <v>366</v>
      </c>
      <c r="S14" s="6" t="s">
        <v>362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</row>
    <row r="15" spans="1:151" ht="15.75" thickBot="1" x14ac:dyDescent="0.3">
      <c r="A15" s="6"/>
      <c r="B15" s="40">
        <v>46046</v>
      </c>
      <c r="C15" s="40">
        <v>46050</v>
      </c>
      <c r="D15" s="40">
        <v>46050</v>
      </c>
      <c r="E15" s="6" t="s">
        <v>424</v>
      </c>
      <c r="F15" s="6" t="s">
        <v>427</v>
      </c>
      <c r="G15" s="6" t="s">
        <v>428</v>
      </c>
      <c r="H15" s="51"/>
      <c r="I15" s="53" t="s">
        <v>429</v>
      </c>
      <c r="J15" s="11">
        <v>2</v>
      </c>
      <c r="K15" s="6" t="s">
        <v>430</v>
      </c>
      <c r="L15" s="6" t="s">
        <v>431</v>
      </c>
      <c r="M15" s="6" t="s">
        <v>320</v>
      </c>
      <c r="N15" s="6" t="s">
        <v>432</v>
      </c>
      <c r="O15" s="6" t="s">
        <v>327</v>
      </c>
      <c r="P15" s="6" t="s">
        <v>433</v>
      </c>
      <c r="Q15" s="40">
        <v>46051</v>
      </c>
      <c r="R15" s="33" t="s">
        <v>366</v>
      </c>
      <c r="S15" s="6" t="s">
        <v>362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</row>
    <row r="16" spans="1:151" ht="15.75" thickBot="1" x14ac:dyDescent="0.3">
      <c r="A16" s="6"/>
      <c r="B16" s="40">
        <v>46048</v>
      </c>
      <c r="C16" s="40">
        <v>46050</v>
      </c>
      <c r="D16" s="40">
        <v>46050</v>
      </c>
      <c r="E16" s="6" t="s">
        <v>424</v>
      </c>
      <c r="F16" s="6" t="s">
        <v>434</v>
      </c>
      <c r="G16" s="6" t="s">
        <v>435</v>
      </c>
      <c r="H16" s="51"/>
      <c r="I16" s="53" t="s">
        <v>436</v>
      </c>
      <c r="J16" s="11">
        <v>4</v>
      </c>
      <c r="K16" s="6" t="s">
        <v>437</v>
      </c>
      <c r="L16" s="6" t="s">
        <v>438</v>
      </c>
      <c r="M16" s="6" t="s">
        <v>320</v>
      </c>
      <c r="N16" s="6" t="s">
        <v>415</v>
      </c>
      <c r="O16" s="6" t="s">
        <v>439</v>
      </c>
      <c r="P16" s="6" t="s">
        <v>440</v>
      </c>
      <c r="Q16" s="40">
        <v>46051</v>
      </c>
      <c r="R16" s="33" t="s">
        <v>366</v>
      </c>
      <c r="S16" s="6" t="s">
        <v>362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</row>
    <row r="17" spans="1:151" ht="256.5" thickBot="1" x14ac:dyDescent="0.3">
      <c r="A17" s="33"/>
      <c r="B17" s="42">
        <v>46041</v>
      </c>
      <c r="C17" s="42">
        <v>46042</v>
      </c>
      <c r="D17" s="42">
        <v>46042</v>
      </c>
      <c r="E17" s="33" t="s">
        <v>424</v>
      </c>
      <c r="F17" s="33" t="s">
        <v>441</v>
      </c>
      <c r="G17" s="6" t="s">
        <v>442</v>
      </c>
      <c r="H17" s="52" t="s">
        <v>443</v>
      </c>
      <c r="I17" s="53" t="s">
        <v>444</v>
      </c>
      <c r="J17" s="43">
        <v>1</v>
      </c>
      <c r="K17" s="33" t="s">
        <v>445</v>
      </c>
      <c r="L17" s="33" t="s">
        <v>335</v>
      </c>
      <c r="M17" s="33" t="s">
        <v>320</v>
      </c>
      <c r="N17" s="33" t="s">
        <v>446</v>
      </c>
      <c r="O17" s="33" t="s">
        <v>340</v>
      </c>
      <c r="P17" s="33" t="s">
        <v>447</v>
      </c>
      <c r="Q17" s="40">
        <v>46052</v>
      </c>
      <c r="R17" s="33" t="s">
        <v>366</v>
      </c>
      <c r="S17" s="6" t="s">
        <v>362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</row>
    <row r="18" spans="1:151" ht="65.25" thickBot="1" x14ac:dyDescent="0.3">
      <c r="A18" s="33"/>
      <c r="B18" s="42">
        <v>46050</v>
      </c>
      <c r="C18" s="42">
        <v>46051</v>
      </c>
      <c r="D18" s="42">
        <v>46051</v>
      </c>
      <c r="E18" s="33" t="s">
        <v>362</v>
      </c>
      <c r="F18" s="33"/>
      <c r="G18" s="33" t="s">
        <v>448</v>
      </c>
      <c r="H18" s="52" t="s">
        <v>449</v>
      </c>
      <c r="I18" s="53" t="s">
        <v>450</v>
      </c>
      <c r="J18" s="43">
        <v>4</v>
      </c>
      <c r="K18" s="33" t="s">
        <v>451</v>
      </c>
      <c r="L18" s="33" t="s">
        <v>452</v>
      </c>
      <c r="M18" s="33" t="s">
        <v>320</v>
      </c>
      <c r="N18" s="33" t="s">
        <v>453</v>
      </c>
      <c r="O18" s="33" t="s">
        <v>340</v>
      </c>
      <c r="P18" s="33" t="s">
        <v>454</v>
      </c>
      <c r="Q18" s="40">
        <v>46052</v>
      </c>
      <c r="R18" s="33" t="s">
        <v>366</v>
      </c>
      <c r="S18" s="6" t="s">
        <v>362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</row>
    <row r="19" spans="1:151" ht="15.75" thickBot="1" x14ac:dyDescent="0.3">
      <c r="A19" s="6"/>
      <c r="B19" s="40">
        <v>46049</v>
      </c>
      <c r="C19" s="40">
        <v>46051</v>
      </c>
      <c r="D19" s="40">
        <v>46051</v>
      </c>
      <c r="E19" s="6" t="s">
        <v>362</v>
      </c>
      <c r="F19" s="6" t="s">
        <v>455</v>
      </c>
      <c r="G19" s="6" t="s">
        <v>456</v>
      </c>
      <c r="H19" s="51"/>
      <c r="I19" s="53" t="s">
        <v>457</v>
      </c>
      <c r="J19" s="11">
        <v>1</v>
      </c>
      <c r="K19" s="6" t="s">
        <v>458</v>
      </c>
      <c r="L19" s="6" t="s">
        <v>459</v>
      </c>
      <c r="M19" s="33" t="s">
        <v>320</v>
      </c>
      <c r="N19" s="6" t="s">
        <v>339</v>
      </c>
      <c r="O19" s="6" t="s">
        <v>340</v>
      </c>
      <c r="P19" s="6" t="s">
        <v>460</v>
      </c>
      <c r="Q19" s="40">
        <v>46052</v>
      </c>
      <c r="R19" s="33" t="s">
        <v>366</v>
      </c>
      <c r="S19" s="6" t="s">
        <v>362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</row>
    <row r="20" spans="1:151" ht="15.75" thickBot="1" x14ac:dyDescent="0.3">
      <c r="A20" s="6"/>
      <c r="B20" s="40">
        <v>46050</v>
      </c>
      <c r="C20" s="40">
        <v>46051</v>
      </c>
      <c r="D20" s="40">
        <v>46051</v>
      </c>
      <c r="E20" s="6" t="s">
        <v>362</v>
      </c>
      <c r="F20" s="6"/>
      <c r="G20" s="6" t="s">
        <v>461</v>
      </c>
      <c r="H20" s="51"/>
      <c r="I20" s="53" t="s">
        <v>306</v>
      </c>
      <c r="J20" s="11">
        <v>2</v>
      </c>
      <c r="K20" s="6" t="s">
        <v>338</v>
      </c>
      <c r="L20" s="6" t="s">
        <v>319</v>
      </c>
      <c r="M20" s="33" t="s">
        <v>320</v>
      </c>
      <c r="N20" s="6" t="s">
        <v>339</v>
      </c>
      <c r="O20" s="6" t="s">
        <v>340</v>
      </c>
      <c r="P20" s="6" t="s">
        <v>341</v>
      </c>
      <c r="Q20" s="40">
        <v>46052</v>
      </c>
      <c r="R20" s="33" t="s">
        <v>366</v>
      </c>
      <c r="S20" s="6" t="s">
        <v>362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</row>
    <row r="21" spans="1:151" ht="15.75" thickBot="1" x14ac:dyDescent="0.3">
      <c r="A21" s="6"/>
      <c r="B21" s="40">
        <v>46046</v>
      </c>
      <c r="C21" s="40">
        <v>46051</v>
      </c>
      <c r="D21" s="40">
        <v>46051</v>
      </c>
      <c r="E21" s="6" t="s">
        <v>362</v>
      </c>
      <c r="F21" s="6"/>
      <c r="G21" s="6" t="s">
        <v>80</v>
      </c>
      <c r="H21" s="51"/>
      <c r="I21" s="53" t="s">
        <v>462</v>
      </c>
      <c r="J21" s="11">
        <v>3</v>
      </c>
      <c r="K21" s="6" t="s">
        <v>463</v>
      </c>
      <c r="L21" s="6"/>
      <c r="M21" s="33" t="s">
        <v>320</v>
      </c>
      <c r="N21" s="6" t="s">
        <v>415</v>
      </c>
      <c r="O21" s="6" t="s">
        <v>464</v>
      </c>
      <c r="P21" s="6" t="s">
        <v>465</v>
      </c>
      <c r="Q21" s="40">
        <v>46052</v>
      </c>
      <c r="R21" s="33" t="s">
        <v>366</v>
      </c>
      <c r="S21" s="6" t="s">
        <v>362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</row>
    <row r="22" spans="1:151" ht="15.75" thickBot="1" x14ac:dyDescent="0.3">
      <c r="A22" s="6"/>
      <c r="B22" s="40">
        <v>46049</v>
      </c>
      <c r="C22" s="40">
        <v>46051</v>
      </c>
      <c r="D22" s="40">
        <v>46051</v>
      </c>
      <c r="E22" s="6" t="s">
        <v>362</v>
      </c>
      <c r="F22" s="6"/>
      <c r="G22" s="6" t="s">
        <v>466</v>
      </c>
      <c r="H22" s="51"/>
      <c r="I22" s="54" t="s">
        <v>467</v>
      </c>
      <c r="J22" s="11">
        <v>2</v>
      </c>
      <c r="K22" s="6" t="s">
        <v>468</v>
      </c>
      <c r="L22" s="6" t="s">
        <v>459</v>
      </c>
      <c r="M22" s="33" t="s">
        <v>320</v>
      </c>
      <c r="N22" s="6" t="s">
        <v>339</v>
      </c>
      <c r="O22" s="6" t="s">
        <v>340</v>
      </c>
      <c r="P22" s="6" t="s">
        <v>460</v>
      </c>
      <c r="Q22" s="40">
        <v>46052</v>
      </c>
      <c r="R22" s="33" t="s">
        <v>366</v>
      </c>
      <c r="S22" s="6" t="s">
        <v>362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</row>
    <row r="23" spans="1:151" ht="15.75" thickBot="1" x14ac:dyDescent="0.3">
      <c r="A23" s="6"/>
      <c r="B23" s="40">
        <v>46049</v>
      </c>
      <c r="C23" s="40">
        <v>46051</v>
      </c>
      <c r="D23" s="40">
        <v>46051</v>
      </c>
      <c r="E23" s="6" t="s">
        <v>362</v>
      </c>
      <c r="F23" s="6"/>
      <c r="G23" s="6" t="s">
        <v>469</v>
      </c>
      <c r="H23" s="51"/>
      <c r="I23" s="54" t="s">
        <v>470</v>
      </c>
      <c r="J23" s="11">
        <v>1</v>
      </c>
      <c r="K23" s="6" t="s">
        <v>471</v>
      </c>
      <c r="L23" s="6"/>
      <c r="M23" s="33" t="s">
        <v>320</v>
      </c>
      <c r="N23" s="6" t="s">
        <v>472</v>
      </c>
      <c r="O23" s="6" t="s">
        <v>340</v>
      </c>
      <c r="P23" s="6" t="s">
        <v>473</v>
      </c>
      <c r="Q23" s="40">
        <v>46052</v>
      </c>
      <c r="R23" s="33" t="s">
        <v>366</v>
      </c>
      <c r="S23" s="6" t="s">
        <v>362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</row>
    <row r="24" spans="1:151" ht="15.75" thickBot="1" x14ac:dyDescent="0.3">
      <c r="A24" s="6"/>
      <c r="B24" s="40">
        <v>46049</v>
      </c>
      <c r="C24" s="40">
        <v>46051</v>
      </c>
      <c r="D24" s="40">
        <v>46051</v>
      </c>
      <c r="E24" s="6" t="s">
        <v>362</v>
      </c>
      <c r="F24" s="6"/>
      <c r="G24" s="6" t="s">
        <v>474</v>
      </c>
      <c r="H24" s="51"/>
      <c r="I24" s="54" t="s">
        <v>475</v>
      </c>
      <c r="J24" s="11">
        <v>1</v>
      </c>
      <c r="K24" s="6" t="s">
        <v>476</v>
      </c>
      <c r="L24" s="6"/>
      <c r="M24" s="33" t="s">
        <v>320</v>
      </c>
      <c r="N24" s="6" t="s">
        <v>472</v>
      </c>
      <c r="O24" s="6" t="s">
        <v>340</v>
      </c>
      <c r="P24" s="6" t="s">
        <v>473</v>
      </c>
      <c r="Q24" s="40">
        <v>46052</v>
      </c>
      <c r="R24" s="33" t="s">
        <v>366</v>
      </c>
      <c r="S24" s="6" t="s">
        <v>362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</row>
    <row r="25" spans="1:151" ht="15.75" thickBot="1" x14ac:dyDescent="0.3">
      <c r="A25" s="6"/>
      <c r="B25" s="40">
        <v>46049</v>
      </c>
      <c r="C25" s="40">
        <v>46051</v>
      </c>
      <c r="D25" s="40">
        <v>46051</v>
      </c>
      <c r="E25" s="6" t="s">
        <v>362</v>
      </c>
      <c r="F25" s="6"/>
      <c r="G25" s="6" t="s">
        <v>477</v>
      </c>
      <c r="H25" s="51"/>
      <c r="I25" s="54" t="s">
        <v>478</v>
      </c>
      <c r="J25" s="11">
        <v>2</v>
      </c>
      <c r="K25" s="6" t="s">
        <v>329</v>
      </c>
      <c r="L25" s="6" t="s">
        <v>330</v>
      </c>
      <c r="M25" s="33" t="s">
        <v>320</v>
      </c>
      <c r="N25" s="6" t="s">
        <v>331</v>
      </c>
      <c r="O25" s="6" t="s">
        <v>332</v>
      </c>
      <c r="P25" s="6" t="s">
        <v>333</v>
      </c>
      <c r="Q25" s="40">
        <v>46052</v>
      </c>
      <c r="R25" s="33" t="s">
        <v>366</v>
      </c>
      <c r="S25" s="6" t="s">
        <v>362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</row>
    <row r="26" spans="1:151" ht="15.75" thickBot="1" x14ac:dyDescent="0.3">
      <c r="A26" s="6"/>
      <c r="B26" s="40">
        <v>46049</v>
      </c>
      <c r="C26" s="40">
        <v>46051</v>
      </c>
      <c r="D26" s="40">
        <v>46051</v>
      </c>
      <c r="E26" s="6" t="s">
        <v>362</v>
      </c>
      <c r="F26" s="6"/>
      <c r="G26" s="6" t="s">
        <v>479</v>
      </c>
      <c r="H26" s="51"/>
      <c r="I26" s="54" t="s">
        <v>480</v>
      </c>
      <c r="J26" s="11">
        <v>1</v>
      </c>
      <c r="K26" s="6" t="s">
        <v>481</v>
      </c>
      <c r="L26" s="6" t="s">
        <v>482</v>
      </c>
      <c r="M26" s="33" t="s">
        <v>320</v>
      </c>
      <c r="N26" s="6" t="s">
        <v>483</v>
      </c>
      <c r="O26" s="6" t="s">
        <v>484</v>
      </c>
      <c r="P26" s="6" t="s">
        <v>485</v>
      </c>
      <c r="Q26" s="40">
        <v>46052</v>
      </c>
      <c r="R26" s="33" t="s">
        <v>366</v>
      </c>
      <c r="S26" s="6" t="s">
        <v>362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</row>
    <row r="27" spans="1:151" ht="15.75" thickBot="1" x14ac:dyDescent="0.3">
      <c r="A27" s="6"/>
      <c r="B27" s="40">
        <v>46049</v>
      </c>
      <c r="C27" s="40">
        <v>46051</v>
      </c>
      <c r="D27" s="40">
        <v>46051</v>
      </c>
      <c r="E27" s="6" t="s">
        <v>362</v>
      </c>
      <c r="F27" s="6"/>
      <c r="G27" s="6" t="s">
        <v>486</v>
      </c>
      <c r="H27" s="51"/>
      <c r="I27" s="54" t="s">
        <v>487</v>
      </c>
      <c r="J27" s="11">
        <v>5</v>
      </c>
      <c r="K27" s="6" t="s">
        <v>488</v>
      </c>
      <c r="L27" s="6" t="s">
        <v>489</v>
      </c>
      <c r="M27" s="33" t="s">
        <v>320</v>
      </c>
      <c r="N27" s="6" t="s">
        <v>490</v>
      </c>
      <c r="O27" s="6" t="s">
        <v>491</v>
      </c>
      <c r="P27" s="6" t="s">
        <v>492</v>
      </c>
      <c r="Q27" s="40">
        <v>46052</v>
      </c>
      <c r="R27" s="33" t="s">
        <v>366</v>
      </c>
      <c r="S27" s="6" t="s">
        <v>362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</row>
    <row r="28" spans="1:151" ht="15.75" thickBot="1" x14ac:dyDescent="0.3">
      <c r="A28" s="6"/>
      <c r="B28" s="40">
        <v>46049</v>
      </c>
      <c r="C28" s="40">
        <v>46051</v>
      </c>
      <c r="D28" s="40">
        <v>46051</v>
      </c>
      <c r="E28" s="6" t="s">
        <v>362</v>
      </c>
      <c r="F28" s="6"/>
      <c r="G28" s="6" t="s">
        <v>493</v>
      </c>
      <c r="H28" s="51"/>
      <c r="I28" s="54" t="s">
        <v>494</v>
      </c>
      <c r="J28" s="11">
        <v>1</v>
      </c>
      <c r="K28" s="6" t="s">
        <v>495</v>
      </c>
      <c r="L28" s="6" t="s">
        <v>496</v>
      </c>
      <c r="M28" s="33" t="s">
        <v>320</v>
      </c>
      <c r="N28" s="6" t="s">
        <v>490</v>
      </c>
      <c r="O28" s="6" t="s">
        <v>491</v>
      </c>
      <c r="P28" s="6" t="s">
        <v>492</v>
      </c>
      <c r="Q28" s="40">
        <v>46052</v>
      </c>
      <c r="R28" s="33" t="s">
        <v>366</v>
      </c>
      <c r="S28" s="6" t="s">
        <v>362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</row>
    <row r="29" spans="1:151" ht="15.75" thickBot="1" x14ac:dyDescent="0.3">
      <c r="A29" s="6"/>
      <c r="B29" s="40">
        <v>46047</v>
      </c>
      <c r="C29" s="40">
        <v>46051</v>
      </c>
      <c r="D29" s="40">
        <v>46051</v>
      </c>
      <c r="E29" s="6" t="s">
        <v>362</v>
      </c>
      <c r="F29" s="6"/>
      <c r="G29" s="6" t="s">
        <v>497</v>
      </c>
      <c r="H29" s="51"/>
      <c r="I29" s="54" t="s">
        <v>498</v>
      </c>
      <c r="J29" s="11">
        <v>1</v>
      </c>
      <c r="K29" s="6" t="s">
        <v>499</v>
      </c>
      <c r="L29" s="6" t="s">
        <v>500</v>
      </c>
      <c r="M29" s="33" t="s">
        <v>320</v>
      </c>
      <c r="N29" s="6" t="s">
        <v>415</v>
      </c>
      <c r="O29" s="6" t="s">
        <v>501</v>
      </c>
      <c r="P29" s="6" t="s">
        <v>502</v>
      </c>
      <c r="Q29" s="40">
        <v>46052</v>
      </c>
      <c r="R29" s="33" t="s">
        <v>366</v>
      </c>
      <c r="S29" s="6" t="s">
        <v>362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</row>
    <row r="30" spans="1:151" ht="15.75" thickBot="1" x14ac:dyDescent="0.3">
      <c r="A30" s="6"/>
      <c r="B30" s="40">
        <v>46047</v>
      </c>
      <c r="C30" s="40">
        <v>46051</v>
      </c>
      <c r="D30" s="40">
        <v>46051</v>
      </c>
      <c r="E30" s="6" t="s">
        <v>362</v>
      </c>
      <c r="F30" s="6"/>
      <c r="G30" s="6" t="s">
        <v>503</v>
      </c>
      <c r="H30" s="51"/>
      <c r="I30" s="54" t="s">
        <v>504</v>
      </c>
      <c r="J30" s="11">
        <v>3</v>
      </c>
      <c r="K30" s="6" t="s">
        <v>505</v>
      </c>
      <c r="L30" s="6" t="s">
        <v>506</v>
      </c>
      <c r="M30" s="33" t="s">
        <v>320</v>
      </c>
      <c r="N30" s="6" t="s">
        <v>415</v>
      </c>
      <c r="O30" s="6" t="s">
        <v>501</v>
      </c>
      <c r="P30" s="6" t="s">
        <v>502</v>
      </c>
      <c r="Q30" s="40">
        <v>46052</v>
      </c>
      <c r="R30" s="33" t="s">
        <v>366</v>
      </c>
      <c r="S30" s="6" t="s">
        <v>362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</row>
    <row r="31" spans="1:151" ht="15.75" thickBot="1" x14ac:dyDescent="0.3">
      <c r="A31" s="6"/>
      <c r="B31" s="40">
        <v>46035</v>
      </c>
      <c r="C31" s="40">
        <v>46051</v>
      </c>
      <c r="D31" s="40">
        <v>46051</v>
      </c>
      <c r="E31" s="6" t="s">
        <v>362</v>
      </c>
      <c r="F31" s="6"/>
      <c r="G31" s="6" t="s">
        <v>507</v>
      </c>
      <c r="H31" s="51"/>
      <c r="I31" s="54" t="s">
        <v>508</v>
      </c>
      <c r="J31" s="11">
        <v>7</v>
      </c>
      <c r="K31" s="6" t="s">
        <v>324</v>
      </c>
      <c r="L31" s="6" t="s">
        <v>325</v>
      </c>
      <c r="M31" s="33" t="s">
        <v>320</v>
      </c>
      <c r="N31" s="6" t="s">
        <v>326</v>
      </c>
      <c r="O31" s="6" t="s">
        <v>327</v>
      </c>
      <c r="P31" s="6" t="s">
        <v>328</v>
      </c>
      <c r="Q31" s="40">
        <v>46052</v>
      </c>
      <c r="R31" s="33" t="s">
        <v>366</v>
      </c>
      <c r="S31" s="6" t="s">
        <v>362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</row>
    <row r="32" spans="1:151" ht="15.75" thickBot="1" x14ac:dyDescent="0.3">
      <c r="A32" s="6"/>
      <c r="B32" s="40">
        <v>46050</v>
      </c>
      <c r="C32" s="40">
        <v>46051</v>
      </c>
      <c r="D32" s="40">
        <v>46051</v>
      </c>
      <c r="E32" s="6" t="s">
        <v>424</v>
      </c>
      <c r="F32" s="6"/>
      <c r="G32" s="6" t="s">
        <v>509</v>
      </c>
      <c r="H32" s="51"/>
      <c r="I32" s="56" t="s">
        <v>510</v>
      </c>
      <c r="J32" s="11">
        <v>2</v>
      </c>
      <c r="K32" s="6" t="s">
        <v>511</v>
      </c>
      <c r="L32" s="6" t="s">
        <v>335</v>
      </c>
      <c r="M32" s="33" t="s">
        <v>320</v>
      </c>
      <c r="N32" s="6" t="s">
        <v>512</v>
      </c>
      <c r="O32" s="6" t="s">
        <v>513</v>
      </c>
      <c r="P32" s="6" t="s">
        <v>341</v>
      </c>
      <c r="Q32" s="40">
        <v>46052</v>
      </c>
      <c r="R32" s="33" t="s">
        <v>366</v>
      </c>
      <c r="S32" s="6" t="s">
        <v>362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</row>
    <row r="33" spans="1:151" ht="15.75" thickBot="1" x14ac:dyDescent="0.3">
      <c r="A33" s="6"/>
      <c r="B33" s="40">
        <v>46049</v>
      </c>
      <c r="C33" s="40">
        <v>46051</v>
      </c>
      <c r="D33" s="40">
        <v>46051</v>
      </c>
      <c r="E33" s="6" t="s">
        <v>424</v>
      </c>
      <c r="F33" s="6"/>
      <c r="G33" s="6" t="s">
        <v>514</v>
      </c>
      <c r="H33" s="51"/>
      <c r="I33" s="56" t="s">
        <v>515</v>
      </c>
      <c r="J33" s="11">
        <v>4</v>
      </c>
      <c r="K33" s="6" t="s">
        <v>516</v>
      </c>
      <c r="L33" s="6" t="s">
        <v>517</v>
      </c>
      <c r="M33" s="33" t="s">
        <v>320</v>
      </c>
      <c r="N33" s="6" t="s">
        <v>518</v>
      </c>
      <c r="O33" s="6" t="s">
        <v>439</v>
      </c>
      <c r="P33" s="6" t="s">
        <v>519</v>
      </c>
      <c r="Q33" s="40">
        <v>46052</v>
      </c>
      <c r="R33" s="33" t="s">
        <v>366</v>
      </c>
      <c r="S33" s="6" t="s">
        <v>362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</row>
    <row r="34" spans="1:151" ht="15.75" thickBot="1" x14ac:dyDescent="0.3">
      <c r="A34" s="6"/>
      <c r="B34" s="40">
        <v>46045</v>
      </c>
      <c r="C34" s="40">
        <v>46051</v>
      </c>
      <c r="D34" s="40">
        <v>46051</v>
      </c>
      <c r="E34" s="6" t="s">
        <v>362</v>
      </c>
      <c r="F34" s="6"/>
      <c r="G34" s="6" t="s">
        <v>520</v>
      </c>
      <c r="H34" s="51"/>
      <c r="I34" s="56" t="s">
        <v>521</v>
      </c>
      <c r="J34" s="11">
        <v>3</v>
      </c>
      <c r="K34" s="6" t="s">
        <v>522</v>
      </c>
      <c r="L34" s="6"/>
      <c r="M34" s="33" t="s">
        <v>320</v>
      </c>
      <c r="N34" s="6" t="s">
        <v>523</v>
      </c>
      <c r="O34" s="6" t="s">
        <v>524</v>
      </c>
      <c r="P34" s="6" t="s">
        <v>80</v>
      </c>
      <c r="Q34" s="40">
        <v>46052</v>
      </c>
      <c r="R34" s="33" t="s">
        <v>366</v>
      </c>
      <c r="S34" s="6" t="s">
        <v>362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</row>
    <row r="35" spans="1:151" ht="15.75" thickBot="1" x14ac:dyDescent="0.3">
      <c r="A35" s="6"/>
      <c r="B35" s="40">
        <v>46039</v>
      </c>
      <c r="C35" s="40">
        <v>46051</v>
      </c>
      <c r="D35" s="40">
        <v>46051</v>
      </c>
      <c r="E35" s="6" t="s">
        <v>424</v>
      </c>
      <c r="F35" s="6"/>
      <c r="G35" s="6" t="s">
        <v>525</v>
      </c>
      <c r="H35" s="51"/>
      <c r="I35" s="56" t="s">
        <v>526</v>
      </c>
      <c r="J35" s="11">
        <v>4</v>
      </c>
      <c r="K35" s="6" t="s">
        <v>527</v>
      </c>
      <c r="L35" s="6" t="s">
        <v>528</v>
      </c>
      <c r="M35" s="33" t="s">
        <v>320</v>
      </c>
      <c r="N35" s="6" t="s">
        <v>326</v>
      </c>
      <c r="O35" s="6" t="s">
        <v>327</v>
      </c>
      <c r="P35" s="6" t="s">
        <v>328</v>
      </c>
      <c r="Q35" s="40">
        <v>46052</v>
      </c>
      <c r="R35" s="33" t="s">
        <v>366</v>
      </c>
      <c r="S35" s="6" t="s">
        <v>362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</row>
    <row r="36" spans="1:151" ht="15.75" thickBot="1" x14ac:dyDescent="0.3">
      <c r="A36" s="6"/>
      <c r="B36" s="40">
        <v>46045</v>
      </c>
      <c r="C36" s="40">
        <v>46051</v>
      </c>
      <c r="D36" s="40">
        <v>46051</v>
      </c>
      <c r="E36" s="6" t="s">
        <v>362</v>
      </c>
      <c r="F36" s="6"/>
      <c r="G36" s="6" t="s">
        <v>529</v>
      </c>
      <c r="H36" s="51"/>
      <c r="I36" s="56" t="s">
        <v>530</v>
      </c>
      <c r="J36" s="11">
        <v>3</v>
      </c>
      <c r="K36" s="6" t="s">
        <v>531</v>
      </c>
      <c r="L36" s="6"/>
      <c r="M36" s="33" t="s">
        <v>320</v>
      </c>
      <c r="N36" s="6" t="s">
        <v>523</v>
      </c>
      <c r="O36" s="6" t="s">
        <v>524</v>
      </c>
      <c r="P36" s="6" t="s">
        <v>80</v>
      </c>
      <c r="Q36" s="40">
        <v>46052</v>
      </c>
      <c r="R36" s="33" t="s">
        <v>366</v>
      </c>
      <c r="S36" s="6" t="s">
        <v>362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</row>
    <row r="37" spans="1:151" ht="15.75" thickBot="1" x14ac:dyDescent="0.3">
      <c r="A37" s="6"/>
      <c r="B37" s="40">
        <v>46045</v>
      </c>
      <c r="C37" s="40">
        <v>46051</v>
      </c>
      <c r="D37" s="40">
        <v>46051</v>
      </c>
      <c r="E37" s="6" t="s">
        <v>362</v>
      </c>
      <c r="F37" s="6"/>
      <c r="G37" s="6" t="s">
        <v>532</v>
      </c>
      <c r="H37" s="51"/>
      <c r="I37" s="56" t="s">
        <v>533</v>
      </c>
      <c r="J37" s="11">
        <v>2</v>
      </c>
      <c r="K37" s="6" t="s">
        <v>386</v>
      </c>
      <c r="L37" s="6"/>
      <c r="M37" s="33" t="s">
        <v>320</v>
      </c>
      <c r="N37" s="6" t="s">
        <v>523</v>
      </c>
      <c r="O37" s="6" t="s">
        <v>524</v>
      </c>
      <c r="P37" s="6" t="s">
        <v>80</v>
      </c>
      <c r="Q37" s="40">
        <v>46052</v>
      </c>
      <c r="R37" s="33" t="s">
        <v>366</v>
      </c>
      <c r="S37" s="6" t="s">
        <v>362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</row>
    <row r="38" spans="1:151" ht="15.75" thickBot="1" x14ac:dyDescent="0.3">
      <c r="A38" s="6"/>
      <c r="B38" s="40">
        <v>46045</v>
      </c>
      <c r="C38" s="40">
        <v>46051</v>
      </c>
      <c r="D38" s="40">
        <v>46051</v>
      </c>
      <c r="E38" s="6" t="s">
        <v>362</v>
      </c>
      <c r="F38" s="6"/>
      <c r="G38" s="6" t="s">
        <v>534</v>
      </c>
      <c r="H38" s="51"/>
      <c r="I38" s="56" t="s">
        <v>535</v>
      </c>
      <c r="J38" s="11">
        <v>1</v>
      </c>
      <c r="K38" s="6" t="s">
        <v>536</v>
      </c>
      <c r="L38" s="6"/>
      <c r="M38" s="33" t="s">
        <v>320</v>
      </c>
      <c r="N38" s="6" t="s">
        <v>523</v>
      </c>
      <c r="O38" s="6" t="s">
        <v>524</v>
      </c>
      <c r="P38" s="6" t="s">
        <v>80</v>
      </c>
      <c r="Q38" s="40">
        <v>46052</v>
      </c>
      <c r="R38" s="33" t="s">
        <v>366</v>
      </c>
      <c r="S38" s="6" t="s">
        <v>362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</row>
    <row r="39" spans="1:151" ht="15.75" thickBot="1" x14ac:dyDescent="0.3">
      <c r="A39" s="6"/>
      <c r="B39" s="40">
        <v>46045</v>
      </c>
      <c r="C39" s="40">
        <v>46051</v>
      </c>
      <c r="D39" s="40">
        <v>46051</v>
      </c>
      <c r="E39" s="6" t="s">
        <v>362</v>
      </c>
      <c r="F39" s="6"/>
      <c r="G39" s="6" t="s">
        <v>537</v>
      </c>
      <c r="H39" s="51"/>
      <c r="I39" s="55" t="s">
        <v>538</v>
      </c>
      <c r="J39" s="11">
        <v>2</v>
      </c>
      <c r="K39" s="6" t="s">
        <v>539</v>
      </c>
      <c r="L39" s="6"/>
      <c r="M39" s="33" t="s">
        <v>320</v>
      </c>
      <c r="N39" s="6" t="s">
        <v>523</v>
      </c>
      <c r="O39" s="6" t="s">
        <v>524</v>
      </c>
      <c r="P39" s="6" t="s">
        <v>80</v>
      </c>
      <c r="Q39" s="40">
        <v>46052</v>
      </c>
      <c r="R39" s="33" t="s">
        <v>366</v>
      </c>
      <c r="S39" s="6" t="s">
        <v>362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</row>
    <row r="40" spans="1:151" ht="15.75" thickBot="1" x14ac:dyDescent="0.3">
      <c r="A40" s="6"/>
      <c r="B40" s="40">
        <v>46045</v>
      </c>
      <c r="C40" s="40">
        <v>46051</v>
      </c>
      <c r="D40" s="40">
        <v>46051</v>
      </c>
      <c r="E40" s="6" t="s">
        <v>362</v>
      </c>
      <c r="F40" s="6"/>
      <c r="G40" s="6" t="s">
        <v>540</v>
      </c>
      <c r="H40" s="51"/>
      <c r="I40" s="55" t="s">
        <v>541</v>
      </c>
      <c r="J40" s="11">
        <v>2</v>
      </c>
      <c r="K40" s="6" t="s">
        <v>542</v>
      </c>
      <c r="L40" s="6"/>
      <c r="M40" s="33" t="s">
        <v>320</v>
      </c>
      <c r="N40" s="6" t="s">
        <v>523</v>
      </c>
      <c r="O40" s="6" t="s">
        <v>524</v>
      </c>
      <c r="P40" s="6" t="s">
        <v>80</v>
      </c>
      <c r="Q40" s="40">
        <v>46052</v>
      </c>
      <c r="R40" s="33" t="s">
        <v>366</v>
      </c>
      <c r="S40" s="6" t="s">
        <v>362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</row>
    <row r="41" spans="1:151" ht="15.75" thickBot="1" x14ac:dyDescent="0.3">
      <c r="A41" s="6"/>
      <c r="B41" s="40">
        <v>46045</v>
      </c>
      <c r="C41" s="40">
        <v>46051</v>
      </c>
      <c r="D41" s="40">
        <v>46051</v>
      </c>
      <c r="E41" s="6" t="s">
        <v>362</v>
      </c>
      <c r="F41" s="6"/>
      <c r="G41" s="6" t="s">
        <v>543</v>
      </c>
      <c r="H41" s="51"/>
      <c r="I41" s="55" t="s">
        <v>544</v>
      </c>
      <c r="J41" s="11">
        <v>2</v>
      </c>
      <c r="K41" s="6" t="s">
        <v>545</v>
      </c>
      <c r="L41" s="6"/>
      <c r="M41" s="33" t="s">
        <v>320</v>
      </c>
      <c r="N41" s="6" t="s">
        <v>523</v>
      </c>
      <c r="O41" s="6" t="s">
        <v>524</v>
      </c>
      <c r="P41" s="6" t="s">
        <v>80</v>
      </c>
      <c r="Q41" s="40">
        <v>46052</v>
      </c>
      <c r="R41" s="33" t="s">
        <v>366</v>
      </c>
      <c r="S41" s="6" t="s">
        <v>362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</row>
    <row r="42" spans="1:151" ht="15.75" thickBot="1" x14ac:dyDescent="0.3">
      <c r="A42" s="6"/>
      <c r="B42" s="40">
        <v>46045</v>
      </c>
      <c r="C42" s="40">
        <v>46051</v>
      </c>
      <c r="D42" s="40">
        <v>46051</v>
      </c>
      <c r="E42" s="6" t="s">
        <v>362</v>
      </c>
      <c r="F42" s="6"/>
      <c r="G42" s="6" t="s">
        <v>546</v>
      </c>
      <c r="H42" s="51"/>
      <c r="I42" s="55" t="s">
        <v>547</v>
      </c>
      <c r="J42" s="11">
        <v>4</v>
      </c>
      <c r="K42" s="6" t="s">
        <v>548</v>
      </c>
      <c r="L42" s="6"/>
      <c r="M42" s="33" t="s">
        <v>320</v>
      </c>
      <c r="N42" s="6" t="s">
        <v>523</v>
      </c>
      <c r="O42" s="6" t="s">
        <v>524</v>
      </c>
      <c r="P42" s="6" t="s">
        <v>80</v>
      </c>
      <c r="Q42" s="40">
        <v>46052</v>
      </c>
      <c r="R42" s="33" t="s">
        <v>366</v>
      </c>
      <c r="S42" s="6" t="s">
        <v>362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</row>
    <row r="43" spans="1:151" ht="15.75" thickBot="1" x14ac:dyDescent="0.3">
      <c r="A43" s="6"/>
      <c r="B43" s="40">
        <v>46051</v>
      </c>
      <c r="C43" s="40">
        <v>46051</v>
      </c>
      <c r="D43" s="40">
        <v>46051</v>
      </c>
      <c r="E43" s="6" t="s">
        <v>362</v>
      </c>
      <c r="F43" s="6"/>
      <c r="G43" s="6" t="s">
        <v>549</v>
      </c>
      <c r="H43" s="51"/>
      <c r="I43" s="55" t="s">
        <v>550</v>
      </c>
      <c r="J43" s="11">
        <v>4</v>
      </c>
      <c r="K43" s="6" t="s">
        <v>551</v>
      </c>
      <c r="L43" s="6" t="s">
        <v>552</v>
      </c>
      <c r="M43" s="33" t="s">
        <v>320</v>
      </c>
      <c r="N43" s="6" t="s">
        <v>553</v>
      </c>
      <c r="O43" s="6" t="s">
        <v>322</v>
      </c>
      <c r="P43" s="6" t="s">
        <v>554</v>
      </c>
      <c r="Q43" s="40">
        <v>46052</v>
      </c>
      <c r="R43" s="33" t="s">
        <v>366</v>
      </c>
      <c r="S43" s="6" t="s">
        <v>362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</row>
    <row r="44" spans="1:151" ht="15.75" thickBot="1" x14ac:dyDescent="0.3">
      <c r="A44" s="6"/>
      <c r="B44" s="40">
        <v>46045</v>
      </c>
      <c r="C44" s="40">
        <v>46051</v>
      </c>
      <c r="D44" s="40">
        <v>46051</v>
      </c>
      <c r="E44" s="6" t="s">
        <v>362</v>
      </c>
      <c r="F44" s="6"/>
      <c r="G44" s="6" t="s">
        <v>555</v>
      </c>
      <c r="H44" s="51"/>
      <c r="I44" s="55" t="s">
        <v>556</v>
      </c>
      <c r="J44" s="11">
        <v>5</v>
      </c>
      <c r="K44" s="6" t="s">
        <v>557</v>
      </c>
      <c r="L44" s="6" t="s">
        <v>558</v>
      </c>
      <c r="M44" s="33" t="s">
        <v>320</v>
      </c>
      <c r="N44" s="6" t="s">
        <v>415</v>
      </c>
      <c r="O44" s="6" t="s">
        <v>322</v>
      </c>
      <c r="P44" s="6" t="s">
        <v>559</v>
      </c>
      <c r="Q44" s="40">
        <v>46052</v>
      </c>
      <c r="R44" s="33" t="s">
        <v>366</v>
      </c>
      <c r="S44" s="6" t="s">
        <v>362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</row>
    <row r="45" spans="1:151" ht="15.75" thickBot="1" x14ac:dyDescent="0.3">
      <c r="A45" s="6"/>
      <c r="B45" s="40">
        <v>46051</v>
      </c>
      <c r="C45" s="40">
        <v>46052</v>
      </c>
      <c r="D45" s="40">
        <v>46052</v>
      </c>
      <c r="E45" s="6" t="s">
        <v>362</v>
      </c>
      <c r="F45" s="6"/>
      <c r="G45" s="6" t="s">
        <v>560</v>
      </c>
      <c r="H45" s="51"/>
      <c r="I45" s="55" t="s">
        <v>561</v>
      </c>
      <c r="J45" s="11">
        <v>4</v>
      </c>
      <c r="K45" s="6" t="s">
        <v>334</v>
      </c>
      <c r="L45" s="6" t="s">
        <v>335</v>
      </c>
      <c r="M45" s="33" t="s">
        <v>320</v>
      </c>
      <c r="N45" s="6" t="s">
        <v>336</v>
      </c>
      <c r="O45" s="6" t="s">
        <v>322</v>
      </c>
      <c r="P45" s="6" t="s">
        <v>337</v>
      </c>
      <c r="Q45" s="40">
        <v>46052</v>
      </c>
      <c r="R45" s="33" t="s">
        <v>366</v>
      </c>
      <c r="S45" s="6" t="s">
        <v>362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</row>
  </sheetData>
  <hyperlinks>
    <hyperlink ref="A1" r:id="rId1" display="http://s.no/" xr:uid="{5AE416C3-43FC-46E5-AF66-1DFFBB8AF8A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2D12-DCE9-4496-BBA4-660697FFFB49}">
  <dimension ref="A1:C44"/>
  <sheetViews>
    <sheetView topLeftCell="A20" workbookViewId="0">
      <selection activeCell="P36" sqref="P36"/>
    </sheetView>
  </sheetViews>
  <sheetFormatPr defaultRowHeight="15" x14ac:dyDescent="0.25"/>
  <cols>
    <col min="2" max="2" width="27.5703125" bestFit="1" customWidth="1"/>
  </cols>
  <sheetData>
    <row r="1" spans="1:3" ht="15.75" thickBot="1" x14ac:dyDescent="0.3">
      <c r="A1">
        <v>1</v>
      </c>
      <c r="B1" s="6" t="s">
        <v>562</v>
      </c>
      <c r="C1" t="str">
        <f>"MD "&amp;A1&amp;"_"&amp;LEFT(B1,50)</f>
        <v>MD 1_LAVANYA_SEKAR</v>
      </c>
    </row>
    <row r="2" spans="1:3" ht="15.75" thickBot="1" x14ac:dyDescent="0.3">
      <c r="A2">
        <v>2</v>
      </c>
      <c r="B2" s="6" t="s">
        <v>563</v>
      </c>
      <c r="C2" t="str">
        <f t="shared" ref="C2:C44" si="0">"MD "&amp;A2&amp;"_"&amp;LEFT(B2,50)</f>
        <v>MD 2_R_DEEPALAKSHMI</v>
      </c>
    </row>
    <row r="3" spans="1:3" ht="15.75" thickBot="1" x14ac:dyDescent="0.3">
      <c r="A3">
        <v>3</v>
      </c>
      <c r="B3" s="6" t="s">
        <v>298</v>
      </c>
      <c r="C3" t="str">
        <f t="shared" si="0"/>
        <v>MD 3_ANANTHI</v>
      </c>
    </row>
    <row r="4" spans="1:3" ht="15.75" thickBot="1" x14ac:dyDescent="0.3">
      <c r="A4">
        <v>4</v>
      </c>
      <c r="B4" s="6" t="s">
        <v>374</v>
      </c>
      <c r="C4" t="str">
        <f t="shared" si="0"/>
        <v>MD 4_DHIVYA</v>
      </c>
    </row>
    <row r="5" spans="1:3" ht="15.75" thickBot="1" x14ac:dyDescent="0.3">
      <c r="A5">
        <v>5</v>
      </c>
      <c r="B5" s="6" t="s">
        <v>564</v>
      </c>
      <c r="C5" t="str">
        <f t="shared" si="0"/>
        <v>MD 5_SMT_SUJATA_SHRIPAL</v>
      </c>
    </row>
    <row r="6" spans="1:3" ht="15.75" thickBot="1" x14ac:dyDescent="0.3">
      <c r="A6">
        <v>6</v>
      </c>
      <c r="B6" s="6" t="s">
        <v>565</v>
      </c>
      <c r="C6" t="str">
        <f t="shared" si="0"/>
        <v>MD 6_PURNIMA_JAIN</v>
      </c>
    </row>
    <row r="7" spans="1:3" ht="15.75" thickBot="1" x14ac:dyDescent="0.3">
      <c r="A7">
        <v>7</v>
      </c>
      <c r="B7" s="6" t="s">
        <v>566</v>
      </c>
      <c r="C7" t="str">
        <f t="shared" si="0"/>
        <v>MD 7_SUBHRA_MANE</v>
      </c>
    </row>
    <row r="8" spans="1:3" ht="15.75" thickBot="1" x14ac:dyDescent="0.3">
      <c r="A8">
        <v>8</v>
      </c>
      <c r="B8" s="6" t="s">
        <v>567</v>
      </c>
      <c r="C8" t="str">
        <f t="shared" si="0"/>
        <v>MD 8_ANJALI_TANEJA</v>
      </c>
    </row>
    <row r="9" spans="1:3" ht="15.75" thickBot="1" x14ac:dyDescent="0.3">
      <c r="A9">
        <v>9</v>
      </c>
      <c r="B9" s="6" t="s">
        <v>568</v>
      </c>
      <c r="C9" t="str">
        <f t="shared" si="0"/>
        <v>MD 9_VENKATA_KIRANMAI</v>
      </c>
    </row>
    <row r="10" spans="1:3" ht="15.75" thickBot="1" x14ac:dyDescent="0.3">
      <c r="A10">
        <v>10</v>
      </c>
      <c r="B10" s="6" t="s">
        <v>569</v>
      </c>
      <c r="C10" t="str">
        <f t="shared" si="0"/>
        <v>MD 10_SINDHU_R</v>
      </c>
    </row>
    <row r="11" spans="1:3" ht="15.75" thickBot="1" x14ac:dyDescent="0.3">
      <c r="A11">
        <v>11</v>
      </c>
      <c r="B11" s="6" t="s">
        <v>570</v>
      </c>
      <c r="C11" t="str">
        <f t="shared" si="0"/>
        <v>MD 11_DOODEKULA_SHAREEFA</v>
      </c>
    </row>
    <row r="12" spans="1:3" ht="15.75" thickBot="1" x14ac:dyDescent="0.3">
      <c r="A12">
        <v>12</v>
      </c>
      <c r="B12" s="6" t="s">
        <v>571</v>
      </c>
      <c r="C12" t="str">
        <f t="shared" si="0"/>
        <v>MD 12_AMRITA_BANGA</v>
      </c>
    </row>
    <row r="13" spans="1:3" ht="15.75" thickBot="1" x14ac:dyDescent="0.3">
      <c r="A13">
        <v>13</v>
      </c>
      <c r="B13" s="6" t="s">
        <v>310</v>
      </c>
      <c r="C13" t="str">
        <f t="shared" si="0"/>
        <v>MD 13_SHARMILA</v>
      </c>
    </row>
    <row r="14" spans="1:3" ht="15.75" thickBot="1" x14ac:dyDescent="0.3">
      <c r="A14">
        <v>14</v>
      </c>
      <c r="B14" s="6" t="s">
        <v>572</v>
      </c>
      <c r="C14" t="str">
        <f t="shared" si="0"/>
        <v>MD 14_KHUSHBOO_RAI</v>
      </c>
    </row>
    <row r="15" spans="1:3" ht="15.75" thickBot="1" x14ac:dyDescent="0.3">
      <c r="A15">
        <v>15</v>
      </c>
      <c r="B15" s="6" t="s">
        <v>573</v>
      </c>
      <c r="C15" t="str">
        <f t="shared" si="0"/>
        <v>MD 15_JOYITA_DAS</v>
      </c>
    </row>
    <row r="16" spans="1:3" ht="15.75" thickBot="1" x14ac:dyDescent="0.3">
      <c r="A16">
        <v>16</v>
      </c>
      <c r="B16" s="33" t="s">
        <v>574</v>
      </c>
      <c r="C16" t="str">
        <f t="shared" si="0"/>
        <v>MD 16_HARITHA_RAJAN</v>
      </c>
    </row>
    <row r="17" spans="1:3" ht="15.75" thickBot="1" x14ac:dyDescent="0.3">
      <c r="A17">
        <v>17</v>
      </c>
      <c r="B17" s="33" t="s">
        <v>575</v>
      </c>
      <c r="C17" t="str">
        <f t="shared" si="0"/>
        <v>MD 17_PUJA_RANI_SWAIN</v>
      </c>
    </row>
    <row r="18" spans="1:3" ht="15.75" thickBot="1" x14ac:dyDescent="0.3">
      <c r="A18">
        <v>18</v>
      </c>
      <c r="B18" s="6" t="s">
        <v>576</v>
      </c>
      <c r="C18" t="str">
        <f t="shared" si="0"/>
        <v>MD 18_SAHANA_D</v>
      </c>
    </row>
    <row r="19" spans="1:3" ht="15.75" thickBot="1" x14ac:dyDescent="0.3">
      <c r="A19">
        <v>19</v>
      </c>
      <c r="B19" s="6" t="s">
        <v>306</v>
      </c>
      <c r="C19" t="str">
        <f t="shared" si="0"/>
        <v>MD 19_LAVANYA</v>
      </c>
    </row>
    <row r="20" spans="1:3" ht="15.75" thickBot="1" x14ac:dyDescent="0.3">
      <c r="A20">
        <v>20</v>
      </c>
      <c r="B20" s="6" t="s">
        <v>577</v>
      </c>
      <c r="C20" t="str">
        <f t="shared" si="0"/>
        <v>MD 20_TIGIREDDY_DEVI</v>
      </c>
    </row>
    <row r="21" spans="1:3" ht="15.75" thickBot="1" x14ac:dyDescent="0.3">
      <c r="A21">
        <v>21</v>
      </c>
      <c r="B21" s="6" t="s">
        <v>578</v>
      </c>
      <c r="C21" t="str">
        <f t="shared" si="0"/>
        <v>MD 21_RUHI_NIGAR</v>
      </c>
    </row>
    <row r="22" spans="1:3" ht="15.75" thickBot="1" x14ac:dyDescent="0.3">
      <c r="A22">
        <v>22</v>
      </c>
      <c r="B22" s="6" t="s">
        <v>579</v>
      </c>
      <c r="C22" t="str">
        <f t="shared" si="0"/>
        <v>MD 22_PALLAVI_G</v>
      </c>
    </row>
    <row r="23" spans="1:3" ht="15.75" thickBot="1" x14ac:dyDescent="0.3">
      <c r="A23">
        <v>23</v>
      </c>
      <c r="B23" s="6" t="s">
        <v>580</v>
      </c>
      <c r="C23" t="str">
        <f t="shared" si="0"/>
        <v>MD 23_DEEPA_DAMODARAN</v>
      </c>
    </row>
    <row r="24" spans="1:3" ht="15.75" thickBot="1" x14ac:dyDescent="0.3">
      <c r="A24">
        <v>24</v>
      </c>
      <c r="B24" s="6" t="s">
        <v>599</v>
      </c>
      <c r="C24" t="str">
        <f t="shared" si="0"/>
        <v>MD 24_JYOTI_TIWANI</v>
      </c>
    </row>
    <row r="25" spans="1:3" ht="15.75" thickBot="1" x14ac:dyDescent="0.3">
      <c r="A25">
        <v>25</v>
      </c>
      <c r="B25" s="6" t="s">
        <v>598</v>
      </c>
      <c r="C25" t="str">
        <f t="shared" si="0"/>
        <v>MD 25_IFASHA_ZAHIR</v>
      </c>
    </row>
    <row r="26" spans="1:3" ht="15.75" thickBot="1" x14ac:dyDescent="0.3">
      <c r="A26">
        <v>26</v>
      </c>
      <c r="B26" s="6" t="s">
        <v>597</v>
      </c>
      <c r="C26" t="str">
        <f t="shared" si="0"/>
        <v>MD 26_NEHA_SHARMA</v>
      </c>
    </row>
    <row r="27" spans="1:3" ht="15.75" thickBot="1" x14ac:dyDescent="0.3">
      <c r="A27">
        <v>27</v>
      </c>
      <c r="B27" s="6" t="s">
        <v>596</v>
      </c>
      <c r="C27" t="str">
        <f t="shared" si="0"/>
        <v>MD 27_KHUSHBOO_CHAWLA</v>
      </c>
    </row>
    <row r="28" spans="1:3" ht="15.75" thickBot="1" x14ac:dyDescent="0.3">
      <c r="A28">
        <v>28</v>
      </c>
      <c r="B28" s="6" t="s">
        <v>595</v>
      </c>
      <c r="C28" t="str">
        <f t="shared" si="0"/>
        <v>MD 28_ZEBA_IDRIS_KHAN</v>
      </c>
    </row>
    <row r="29" spans="1:3" ht="15.75" thickBot="1" x14ac:dyDescent="0.3">
      <c r="A29">
        <v>29</v>
      </c>
      <c r="B29" s="6" t="s">
        <v>594</v>
      </c>
      <c r="C29" t="str">
        <f t="shared" si="0"/>
        <v>MD 29_GIRIJA_RAMESHWAR_JADHAV</v>
      </c>
    </row>
    <row r="30" spans="1:3" ht="15.75" thickBot="1" x14ac:dyDescent="0.3">
      <c r="A30">
        <v>30</v>
      </c>
      <c r="B30" s="6" t="s">
        <v>593</v>
      </c>
      <c r="C30" t="str">
        <f t="shared" si="0"/>
        <v>MD 30_JONNALA_MYTHIRI</v>
      </c>
    </row>
    <row r="31" spans="1:3" ht="15.75" thickBot="1" x14ac:dyDescent="0.3">
      <c r="A31">
        <v>31</v>
      </c>
      <c r="B31" s="6" t="s">
        <v>592</v>
      </c>
      <c r="C31" t="str">
        <f t="shared" si="0"/>
        <v>MD 31_DIVYA_JAIVIGNESH</v>
      </c>
    </row>
    <row r="32" spans="1:3" ht="15.75" thickBot="1" x14ac:dyDescent="0.3">
      <c r="A32">
        <v>32</v>
      </c>
      <c r="B32" s="6" t="s">
        <v>591</v>
      </c>
      <c r="C32" t="str">
        <f t="shared" si="0"/>
        <v>MD 32_HARSHADA_JADHAWAR</v>
      </c>
    </row>
    <row r="33" spans="1:3" ht="15.75" thickBot="1" x14ac:dyDescent="0.3">
      <c r="A33">
        <v>33</v>
      </c>
      <c r="B33" s="6" t="s">
        <v>590</v>
      </c>
      <c r="C33" t="str">
        <f t="shared" si="0"/>
        <v>MD 33_NIKITA_POUDEL</v>
      </c>
    </row>
    <row r="34" spans="1:3" ht="15.75" thickBot="1" x14ac:dyDescent="0.3">
      <c r="A34">
        <v>34</v>
      </c>
      <c r="B34" s="6" t="s">
        <v>589</v>
      </c>
      <c r="C34" t="str">
        <f t="shared" si="0"/>
        <v>MD 34_LAKSHMI_PRIYA</v>
      </c>
    </row>
    <row r="35" spans="1:3" ht="15.75" thickBot="1" x14ac:dyDescent="0.3">
      <c r="A35">
        <v>35</v>
      </c>
      <c r="B35" s="6" t="s">
        <v>588</v>
      </c>
      <c r="C35" t="str">
        <f t="shared" si="0"/>
        <v>MD 35_MANISHA_GUSUNG</v>
      </c>
    </row>
    <row r="36" spans="1:3" ht="15.75" thickBot="1" x14ac:dyDescent="0.3">
      <c r="A36">
        <v>36</v>
      </c>
      <c r="B36" s="6" t="s">
        <v>587</v>
      </c>
      <c r="C36" t="str">
        <f t="shared" si="0"/>
        <v>MD 36_PABITRA_SHRESTHA</v>
      </c>
    </row>
    <row r="37" spans="1:3" ht="15.75" thickBot="1" x14ac:dyDescent="0.3">
      <c r="A37">
        <v>37</v>
      </c>
      <c r="B37" s="6" t="s">
        <v>586</v>
      </c>
      <c r="C37" t="str">
        <f t="shared" si="0"/>
        <v>MD 37_SAMJHANA_KATHEL</v>
      </c>
    </row>
    <row r="38" spans="1:3" ht="15.75" thickBot="1" x14ac:dyDescent="0.3">
      <c r="A38">
        <v>38</v>
      </c>
      <c r="B38" s="6" t="s">
        <v>585</v>
      </c>
      <c r="C38" t="str">
        <f t="shared" si="0"/>
        <v>MD 38_INDRA_KUMARI_GURUNG</v>
      </c>
    </row>
    <row r="39" spans="1:3" ht="15.75" thickBot="1" x14ac:dyDescent="0.3">
      <c r="A39">
        <v>39</v>
      </c>
      <c r="B39" s="6" t="s">
        <v>584</v>
      </c>
      <c r="C39" t="str">
        <f t="shared" si="0"/>
        <v>MD 39_BEL_MAYA_KHAMCHA</v>
      </c>
    </row>
    <row r="40" spans="1:3" ht="15.75" thickBot="1" x14ac:dyDescent="0.3">
      <c r="A40">
        <v>40</v>
      </c>
      <c r="B40" s="6" t="s">
        <v>583</v>
      </c>
      <c r="C40" t="str">
        <f t="shared" si="0"/>
        <v>MD 40_SAPANA_PARAJULI</v>
      </c>
    </row>
    <row r="41" spans="1:3" ht="15.75" thickBot="1" x14ac:dyDescent="0.3">
      <c r="A41">
        <v>41</v>
      </c>
      <c r="B41" s="6" t="s">
        <v>582</v>
      </c>
      <c r="C41" t="str">
        <f t="shared" si="0"/>
        <v>MD 41_DRISTI_SHARMA</v>
      </c>
    </row>
    <row r="42" spans="1:3" ht="15.75" thickBot="1" x14ac:dyDescent="0.3">
      <c r="A42">
        <v>42</v>
      </c>
      <c r="B42" s="6" t="s">
        <v>550</v>
      </c>
      <c r="C42" t="str">
        <f t="shared" si="0"/>
        <v>MD 42_AARTHI</v>
      </c>
    </row>
    <row r="43" spans="1:3" ht="15.75" thickBot="1" x14ac:dyDescent="0.3">
      <c r="A43">
        <v>43</v>
      </c>
      <c r="B43" s="6" t="s">
        <v>556</v>
      </c>
      <c r="C43" t="str">
        <f t="shared" si="0"/>
        <v>MD 43_RAJESHWARI</v>
      </c>
    </row>
    <row r="44" spans="1:3" ht="15.75" thickBot="1" x14ac:dyDescent="0.3">
      <c r="A44">
        <v>44</v>
      </c>
      <c r="B44" s="6" t="s">
        <v>581</v>
      </c>
      <c r="C44" t="str">
        <f t="shared" si="0"/>
        <v>MD 44_KAVITHA_C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3593-04EC-4C44-B961-00E0360135EA}">
  <dimension ref="A1:A7"/>
  <sheetViews>
    <sheetView topLeftCell="A4" workbookViewId="0">
      <selection activeCell="G24" sqref="G24"/>
    </sheetView>
  </sheetViews>
  <sheetFormatPr defaultRowHeight="15" x14ac:dyDescent="0.25"/>
  <cols>
    <col min="1" max="1" width="27.7109375" customWidth="1"/>
  </cols>
  <sheetData>
    <row r="1" spans="1:1" ht="15.75" thickBot="1" x14ac:dyDescent="0.3">
      <c r="A1" s="8" t="s">
        <v>17</v>
      </c>
    </row>
    <row r="2" spans="1:1" x14ac:dyDescent="0.25">
      <c r="A2" s="9"/>
    </row>
    <row r="3" spans="1:1" x14ac:dyDescent="0.25">
      <c r="A3" s="9"/>
    </row>
    <row r="4" spans="1:1" x14ac:dyDescent="0.25">
      <c r="A4" s="9"/>
    </row>
    <row r="5" spans="1:1" x14ac:dyDescent="0.25">
      <c r="A5" s="9"/>
    </row>
    <row r="6" spans="1:1" x14ac:dyDescent="0.25">
      <c r="A6" s="9"/>
    </row>
    <row r="7" spans="1:1" x14ac:dyDescent="0.25">
      <c r="A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E8DE-1C73-478B-BC7E-7BFFB2B45052}">
  <dimension ref="E7:U42"/>
  <sheetViews>
    <sheetView topLeftCell="A10" zoomScaleNormal="100" workbookViewId="0">
      <selection activeCell="L32" sqref="L32"/>
    </sheetView>
  </sheetViews>
  <sheetFormatPr defaultRowHeight="15" x14ac:dyDescent="0.25"/>
  <cols>
    <col min="5" max="5" width="27.28515625" customWidth="1"/>
    <col min="7" max="7" width="12.5703125" bestFit="1" customWidth="1"/>
    <col min="8" max="8" width="10.28515625" bestFit="1" customWidth="1"/>
    <col min="10" max="10" width="32.7109375" customWidth="1"/>
    <col min="11" max="11" width="12.42578125" bestFit="1" customWidth="1"/>
    <col min="12" max="12" width="18.7109375" customWidth="1"/>
    <col min="16" max="16" width="35.28515625" customWidth="1"/>
    <col min="17" max="17" width="13" customWidth="1"/>
  </cols>
  <sheetData>
    <row r="7" spans="5:21" x14ac:dyDescent="0.25">
      <c r="J7" t="s">
        <v>45</v>
      </c>
    </row>
    <row r="11" spans="5:21" x14ac:dyDescent="0.25">
      <c r="E11" s="30" t="s">
        <v>48</v>
      </c>
      <c r="F11" s="30"/>
      <c r="G11" s="30"/>
      <c r="H11" s="30"/>
      <c r="I11" s="30"/>
      <c r="J11" s="30" t="s">
        <v>46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spans="5:21" ht="60" x14ac:dyDescent="0.25">
      <c r="E12" s="18" t="s">
        <v>15</v>
      </c>
      <c r="F12" s="18" t="s">
        <v>16</v>
      </c>
      <c r="G12" s="18" t="s">
        <v>17</v>
      </c>
      <c r="H12" s="18" t="s">
        <v>18</v>
      </c>
      <c r="I12" s="18" t="s">
        <v>19</v>
      </c>
      <c r="J12" s="18" t="s">
        <v>20</v>
      </c>
      <c r="K12" s="18" t="s">
        <v>21</v>
      </c>
      <c r="L12" s="18" t="s">
        <v>22</v>
      </c>
      <c r="M12" s="18" t="s">
        <v>23</v>
      </c>
      <c r="N12" s="18" t="s">
        <v>54</v>
      </c>
      <c r="O12" s="18" t="s">
        <v>24</v>
      </c>
      <c r="P12" s="18" t="s">
        <v>25</v>
      </c>
      <c r="Q12" s="19" t="s">
        <v>14</v>
      </c>
      <c r="R12" s="19" t="s">
        <v>9</v>
      </c>
      <c r="S12" s="19" t="s">
        <v>10</v>
      </c>
      <c r="T12" s="20" t="s">
        <v>11</v>
      </c>
      <c r="U12" s="20" t="s">
        <v>13</v>
      </c>
    </row>
    <row r="13" spans="5:21" s="29" customFormat="1" x14ac:dyDescent="0.25">
      <c r="E13" s="45" t="s">
        <v>298</v>
      </c>
      <c r="F13" s="46">
        <v>3</v>
      </c>
      <c r="G13" s="46" t="s">
        <v>318</v>
      </c>
      <c r="H13" s="46" t="s">
        <v>319</v>
      </c>
      <c r="I13" s="46" t="s">
        <v>320</v>
      </c>
      <c r="J13" s="46" t="s">
        <v>321</v>
      </c>
      <c r="K13" s="46" t="s">
        <v>322</v>
      </c>
      <c r="L13" s="46" t="s">
        <v>323</v>
      </c>
      <c r="M13" s="31"/>
      <c r="N13" s="31"/>
      <c r="O13" s="31" t="s">
        <v>296</v>
      </c>
      <c r="P13" s="32" t="s">
        <v>292</v>
      </c>
      <c r="Q13" s="31">
        <v>7</v>
      </c>
      <c r="R13" s="31">
        <v>2</v>
      </c>
      <c r="S13" s="31">
        <v>2</v>
      </c>
      <c r="T13" s="31">
        <v>3.12384378610711</v>
      </c>
      <c r="U13" s="31">
        <v>2</v>
      </c>
    </row>
    <row r="14" spans="5:21" s="29" customFormat="1" x14ac:dyDescent="0.25">
      <c r="E14" s="45"/>
      <c r="F14" s="46"/>
      <c r="G14" s="46"/>
      <c r="H14" s="46"/>
      <c r="I14" s="46"/>
      <c r="J14" s="46"/>
      <c r="K14" s="46"/>
      <c r="L14" s="46"/>
      <c r="M14" s="31"/>
      <c r="N14" s="31"/>
      <c r="O14" s="31" t="s">
        <v>297</v>
      </c>
      <c r="P14" s="32" t="s">
        <v>292</v>
      </c>
      <c r="Q14" s="31">
        <v>55</v>
      </c>
      <c r="R14" s="31">
        <v>2</v>
      </c>
      <c r="S14" s="31">
        <v>2</v>
      </c>
      <c r="T14" s="31">
        <v>0.82090306389842704</v>
      </c>
      <c r="U14" s="31">
        <v>2</v>
      </c>
    </row>
    <row r="15" spans="5:21" s="29" customFormat="1" x14ac:dyDescent="0.25">
      <c r="E15" s="31" t="s">
        <v>300</v>
      </c>
      <c r="F15" s="34">
        <v>7</v>
      </c>
      <c r="G15" s="35" t="s">
        <v>324</v>
      </c>
      <c r="H15" s="35" t="s">
        <v>325</v>
      </c>
      <c r="I15" s="36" t="s">
        <v>320</v>
      </c>
      <c r="J15" s="35" t="s">
        <v>326</v>
      </c>
      <c r="K15" s="35" t="s">
        <v>327</v>
      </c>
      <c r="L15" s="35" t="s">
        <v>328</v>
      </c>
      <c r="M15" s="31"/>
      <c r="N15" s="31"/>
      <c r="O15" s="31" t="s">
        <v>299</v>
      </c>
      <c r="P15" s="32" t="s">
        <v>293</v>
      </c>
      <c r="Q15" s="31">
        <v>927642</v>
      </c>
      <c r="R15" s="31">
        <v>0.255</v>
      </c>
      <c r="S15" s="31">
        <v>0.249315241235705</v>
      </c>
      <c r="T15" s="31">
        <v>0.278746006801666</v>
      </c>
      <c r="U15" s="31">
        <v>0.27171725500454402</v>
      </c>
    </row>
    <row r="16" spans="5:21" s="29" customFormat="1" x14ac:dyDescent="0.25">
      <c r="E16" s="31" t="s">
        <v>302</v>
      </c>
      <c r="F16" s="34">
        <v>2</v>
      </c>
      <c r="G16" s="35" t="s">
        <v>329</v>
      </c>
      <c r="H16" s="35" t="s">
        <v>330</v>
      </c>
      <c r="I16" s="36" t="s">
        <v>320</v>
      </c>
      <c r="J16" s="35" t="s">
        <v>331</v>
      </c>
      <c r="K16" s="35" t="s">
        <v>332</v>
      </c>
      <c r="L16" s="35" t="s">
        <v>333</v>
      </c>
      <c r="M16" s="31"/>
      <c r="N16" s="31"/>
      <c r="O16" s="31" t="s">
        <v>301</v>
      </c>
      <c r="P16" s="32" t="s">
        <v>293</v>
      </c>
      <c r="Q16" s="31">
        <v>346215</v>
      </c>
      <c r="R16" s="31">
        <v>0.66500000000000004</v>
      </c>
      <c r="S16" s="31">
        <v>0.82527342669205295</v>
      </c>
      <c r="T16" s="31">
        <v>0.38219439532743998</v>
      </c>
      <c r="U16" s="31">
        <v>0.445699376785539</v>
      </c>
    </row>
    <row r="17" spans="5:21" s="29" customFormat="1" x14ac:dyDescent="0.25">
      <c r="E17" s="31" t="s">
        <v>303</v>
      </c>
      <c r="F17" s="37">
        <v>4</v>
      </c>
      <c r="G17" s="38" t="s">
        <v>334</v>
      </c>
      <c r="H17" s="38" t="s">
        <v>335</v>
      </c>
      <c r="I17" s="39" t="s">
        <v>320</v>
      </c>
      <c r="J17" s="38" t="s">
        <v>336</v>
      </c>
      <c r="K17" s="38" t="s">
        <v>322</v>
      </c>
      <c r="L17" s="38" t="s">
        <v>337</v>
      </c>
      <c r="M17" s="31"/>
      <c r="N17" s="31"/>
      <c r="O17" s="31" t="s">
        <v>304</v>
      </c>
      <c r="P17" s="32" t="s">
        <v>293</v>
      </c>
      <c r="Q17" s="31">
        <v>124742</v>
      </c>
      <c r="R17" s="31">
        <v>0.51500000000000001</v>
      </c>
      <c r="S17" s="31">
        <v>0.36283640442982601</v>
      </c>
      <c r="T17" s="31">
        <v>7.5340024945527703E-2</v>
      </c>
      <c r="U17" s="31">
        <v>8.0323609419929595E-2</v>
      </c>
    </row>
    <row r="18" spans="5:21" s="29" customFormat="1" x14ac:dyDescent="0.25">
      <c r="E18" s="31" t="s">
        <v>306</v>
      </c>
      <c r="F18" s="34">
        <v>2</v>
      </c>
      <c r="G18" s="35" t="s">
        <v>338</v>
      </c>
      <c r="H18" s="35" t="s">
        <v>319</v>
      </c>
      <c r="I18" s="36" t="s">
        <v>320</v>
      </c>
      <c r="J18" s="35" t="s">
        <v>339</v>
      </c>
      <c r="K18" s="35" t="s">
        <v>340</v>
      </c>
      <c r="L18" s="35" t="s">
        <v>341</v>
      </c>
      <c r="M18" s="31"/>
      <c r="N18" s="31"/>
      <c r="O18" s="31" t="s">
        <v>305</v>
      </c>
      <c r="P18" s="32" t="s">
        <v>294</v>
      </c>
      <c r="Q18" s="31">
        <v>33342</v>
      </c>
      <c r="R18" s="31">
        <v>0.77600000000000002</v>
      </c>
      <c r="S18" s="31">
        <v>0.61722587670638196</v>
      </c>
      <c r="T18" s="31">
        <v>0.37265005707597498</v>
      </c>
      <c r="U18" s="31">
        <v>0.47104241464535102</v>
      </c>
    </row>
    <row r="19" spans="5:21" s="29" customFormat="1" x14ac:dyDescent="0.25">
      <c r="E19" s="31" t="s">
        <v>308</v>
      </c>
      <c r="F19" s="37">
        <v>2</v>
      </c>
      <c r="G19" s="38" t="s">
        <v>342</v>
      </c>
      <c r="H19" s="38" t="s">
        <v>319</v>
      </c>
      <c r="I19" s="38" t="s">
        <v>320</v>
      </c>
      <c r="J19" s="38" t="s">
        <v>321</v>
      </c>
      <c r="K19" s="38" t="s">
        <v>322</v>
      </c>
      <c r="L19" s="38" t="s">
        <v>343</v>
      </c>
      <c r="M19" s="31"/>
      <c r="N19" s="31"/>
      <c r="O19" s="31" t="s">
        <v>307</v>
      </c>
      <c r="P19" s="32" t="s">
        <v>294</v>
      </c>
      <c r="Q19" s="31">
        <v>9337</v>
      </c>
      <c r="R19" s="31">
        <v>0.89400000000000002</v>
      </c>
      <c r="S19" s="31">
        <v>0.68670392720214501</v>
      </c>
      <c r="T19" s="31">
        <v>9.5823284287646499E-2</v>
      </c>
      <c r="U19" s="31">
        <v>0.14252149955740701</v>
      </c>
    </row>
    <row r="20" spans="5:21" s="29" customFormat="1" x14ac:dyDescent="0.25">
      <c r="E20" s="31" t="s">
        <v>310</v>
      </c>
      <c r="F20" s="37">
        <v>3</v>
      </c>
      <c r="G20" s="38" t="s">
        <v>344</v>
      </c>
      <c r="H20" s="38" t="s">
        <v>345</v>
      </c>
      <c r="I20" s="38" t="s">
        <v>320</v>
      </c>
      <c r="J20" s="38" t="s">
        <v>346</v>
      </c>
      <c r="K20" s="38" t="s">
        <v>322</v>
      </c>
      <c r="L20" s="38" t="s">
        <v>347</v>
      </c>
      <c r="M20" s="31"/>
      <c r="N20" s="31"/>
      <c r="O20" s="31" t="s">
        <v>309</v>
      </c>
      <c r="P20" s="32" t="s">
        <v>294</v>
      </c>
      <c r="Q20" s="31">
        <v>29501</v>
      </c>
      <c r="R20" s="31">
        <v>0.875</v>
      </c>
      <c r="S20" s="31">
        <v>0.61708556169008899</v>
      </c>
      <c r="T20" s="31">
        <v>0.12634180542146201</v>
      </c>
      <c r="U20" s="31">
        <v>0.148422192083659</v>
      </c>
    </row>
    <row r="21" spans="5:21" s="29" customFormat="1" x14ac:dyDescent="0.25">
      <c r="E21" s="31" t="s">
        <v>312</v>
      </c>
      <c r="F21" s="37">
        <v>3</v>
      </c>
      <c r="G21" s="38" t="s">
        <v>348</v>
      </c>
      <c r="H21" s="38" t="s">
        <v>330</v>
      </c>
      <c r="I21" s="38" t="s">
        <v>320</v>
      </c>
      <c r="J21" s="38" t="s">
        <v>349</v>
      </c>
      <c r="K21" s="38" t="s">
        <v>350</v>
      </c>
      <c r="L21" s="38" t="s">
        <v>351</v>
      </c>
      <c r="M21" s="31"/>
      <c r="N21" s="31"/>
      <c r="O21" s="31" t="s">
        <v>311</v>
      </c>
      <c r="P21" s="32" t="s">
        <v>293</v>
      </c>
      <c r="Q21" s="31">
        <v>122991</v>
      </c>
      <c r="R21" s="31">
        <v>0.52800000000000002</v>
      </c>
      <c r="S21" s="31">
        <v>0.364033182925939</v>
      </c>
      <c r="T21" s="31">
        <v>4.3702653939383301E-2</v>
      </c>
      <c r="U21" s="31">
        <v>4.5697817675716103E-2</v>
      </c>
    </row>
    <row r="22" spans="5:21" s="29" customFormat="1" x14ac:dyDescent="0.25">
      <c r="E22" s="31" t="s">
        <v>314</v>
      </c>
      <c r="F22" s="34">
        <v>5</v>
      </c>
      <c r="G22" s="35" t="s">
        <v>352</v>
      </c>
      <c r="H22" s="35" t="s">
        <v>353</v>
      </c>
      <c r="I22" s="35" t="s">
        <v>320</v>
      </c>
      <c r="J22" s="35" t="s">
        <v>354</v>
      </c>
      <c r="K22" s="35" t="s">
        <v>355</v>
      </c>
      <c r="L22" s="35" t="s">
        <v>356</v>
      </c>
      <c r="M22" s="31"/>
      <c r="N22" s="31"/>
      <c r="O22" s="31" t="s">
        <v>313</v>
      </c>
      <c r="P22" s="32" t="s">
        <v>293</v>
      </c>
      <c r="Q22" s="31">
        <v>145391</v>
      </c>
      <c r="R22" s="31">
        <v>0.59499999999999997</v>
      </c>
      <c r="S22" s="31">
        <v>0.43044316211732198</v>
      </c>
      <c r="T22" s="31">
        <v>0.123825923826972</v>
      </c>
      <c r="U22" s="31">
        <v>0.105074231987646</v>
      </c>
    </row>
    <row r="23" spans="5:21" s="29" customFormat="1" x14ac:dyDescent="0.25">
      <c r="E23" s="31" t="s">
        <v>316</v>
      </c>
      <c r="F23" s="37">
        <v>2</v>
      </c>
      <c r="G23" s="38" t="s">
        <v>357</v>
      </c>
      <c r="H23" s="38" t="s">
        <v>358</v>
      </c>
      <c r="I23" s="38" t="s">
        <v>320</v>
      </c>
      <c r="J23" s="38" t="s">
        <v>359</v>
      </c>
      <c r="K23" s="38" t="s">
        <v>360</v>
      </c>
      <c r="L23" s="38" t="s">
        <v>361</v>
      </c>
      <c r="M23" s="31"/>
      <c r="N23" s="31"/>
      <c r="O23" s="31" t="s">
        <v>315</v>
      </c>
      <c r="P23" s="32" t="s">
        <v>295</v>
      </c>
      <c r="Q23" s="31">
        <v>2081290</v>
      </c>
      <c r="R23" s="31">
        <v>0.17799999999999999</v>
      </c>
      <c r="S23" s="31">
        <v>0.51738761335398398</v>
      </c>
      <c r="T23" s="31">
        <v>0.49207454090331798</v>
      </c>
      <c r="U23" s="31">
        <v>0.46477382182129101</v>
      </c>
    </row>
    <row r="30" spans="5:21" ht="15.75" thickBot="1" x14ac:dyDescent="0.3"/>
    <row r="31" spans="5:21" ht="15.75" thickBot="1" x14ac:dyDescent="0.3">
      <c r="E31" s="6"/>
      <c r="F31" s="11"/>
      <c r="G31" s="6"/>
      <c r="H31" s="6"/>
      <c r="I31" s="6"/>
      <c r="J31" s="6"/>
      <c r="K31" s="6"/>
      <c r="L31" s="6"/>
      <c r="M31" s="12"/>
    </row>
    <row r="32" spans="5:21" ht="15.75" thickBot="1" x14ac:dyDescent="0.3">
      <c r="E32" s="6"/>
      <c r="F32" s="11"/>
      <c r="G32" s="6"/>
      <c r="H32" s="6"/>
      <c r="I32" s="6"/>
      <c r="J32" s="6"/>
      <c r="K32" s="6"/>
      <c r="L32" s="6"/>
    </row>
    <row r="33" spans="5:15" ht="15.75" thickBot="1" x14ac:dyDescent="0.3">
      <c r="E33" s="6"/>
      <c r="F33" s="11"/>
      <c r="G33" s="10"/>
      <c r="H33" s="6"/>
      <c r="I33" s="6"/>
      <c r="J33" s="6"/>
      <c r="K33" s="6"/>
      <c r="L33" s="6"/>
    </row>
    <row r="37" spans="5:15" x14ac:dyDescent="0.25">
      <c r="E37" s="44"/>
      <c r="O37" s="14"/>
    </row>
    <row r="38" spans="5:15" x14ac:dyDescent="0.25">
      <c r="E38" s="44"/>
      <c r="O38" s="14"/>
    </row>
    <row r="39" spans="5:15" x14ac:dyDescent="0.25">
      <c r="E39" s="14"/>
      <c r="O39" s="14"/>
    </row>
    <row r="40" spans="5:15" x14ac:dyDescent="0.25">
      <c r="E40" s="14"/>
      <c r="O40" s="14"/>
    </row>
    <row r="41" spans="5:15" x14ac:dyDescent="0.25">
      <c r="E41" s="44"/>
      <c r="O41" s="14"/>
    </row>
    <row r="42" spans="5:15" x14ac:dyDescent="0.25">
      <c r="E42" s="44"/>
      <c r="O42" s="14"/>
    </row>
  </sheetData>
  <mergeCells count="10">
    <mergeCell ref="H13:H14"/>
    <mergeCell ref="I13:I14"/>
    <mergeCell ref="J13:J14"/>
    <mergeCell ref="K13:K14"/>
    <mergeCell ref="L13:L14"/>
    <mergeCell ref="E37:E38"/>
    <mergeCell ref="E41:E42"/>
    <mergeCell ref="E13:E14"/>
    <mergeCell ref="F13:F14"/>
    <mergeCell ref="G13:G1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Details</vt:lpstr>
      <vt:lpstr>Sheet1</vt:lpstr>
      <vt:lpstr>GC comments</vt:lpstr>
      <vt:lpstr>Inconclusive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Indumathi (Genetics) Research associate</cp:lastModifiedBy>
  <dcterms:created xsi:type="dcterms:W3CDTF">2025-11-04T07:47:05Z</dcterms:created>
  <dcterms:modified xsi:type="dcterms:W3CDTF">2026-02-02T12:30:49Z</dcterms:modified>
</cp:coreProperties>
</file>