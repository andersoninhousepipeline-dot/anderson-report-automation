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Details" sheetId="2" state="visible" r:id="rId3"/>
    <sheet name="Sheet1" sheetId="3" state="hidden" r:id="rId4"/>
    <sheet name="GC comments" sheetId="4" state="visible" r:id="rId5"/>
    <sheet name="Inconclusive" sheetId="5" state="visible" r:id="rId6"/>
  </sheets>
  <definedNames>
    <definedName function="false" hidden="true" localSheetId="0" name="_xlnm._FilterDatabase" vbProcedure="false">summary!$A$14:$N$68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<sst xmlns="http://schemas.openxmlformats.org/spreadsheetml/2006/main" count="865" uniqueCount="371">
  <si>
    <t xml:space="preserve">REPORT ASSIGNED</t>
  </si>
  <si>
    <t xml:space="preserve">RITHIKA</t>
  </si>
  <si>
    <t xml:space="preserve">Naveen</t>
  </si>
  <si>
    <t xml:space="preserve">SWETHA</t>
  </si>
  <si>
    <t xml:space="preserve">Shivangi</t>
  </si>
  <si>
    <t xml:space="preserve">Analysis Results</t>
  </si>
  <si>
    <t xml:space="preserve">Sample name</t>
  </si>
  <si>
    <t xml:space="preserve">Test </t>
  </si>
  <si>
    <t xml:space="preserve">QC</t>
  </si>
  <si>
    <t xml:space="preserve">Conclusion</t>
  </si>
  <si>
    <t xml:space="preserve">GENDER</t>
  </si>
  <si>
    <t xml:space="preserve">Karyotype MWF</t>
  </si>
  <si>
    <t xml:space="preserve">Karyotype NORMAL WF</t>
  </si>
  <si>
    <t xml:space="preserve">Result</t>
  </si>
  <si>
    <t xml:space="preserve">MTcopy</t>
  </si>
  <si>
    <t xml:space="preserve">UniqueReads</t>
  </si>
  <si>
    <t xml:space="preserve">MAPD</t>
  </si>
  <si>
    <t xml:space="preserve">BinCV</t>
  </si>
  <si>
    <t xml:space="preserve">CNVMergeCV</t>
  </si>
  <si>
    <t xml:space="preserve">CNVpq</t>
  </si>
  <si>
    <t xml:space="preserve">ANJALIDEVI-AD1_L00_R1</t>
  </si>
  <si>
    <t xml:space="preserve">PGTA</t>
  </si>
  <si>
    <t xml:space="preserve">PASS</t>
  </si>
  <si>
    <t xml:space="preserve">Mosaic</t>
  </si>
  <si>
    <t xml:space="preserve">XY</t>
  </si>
  <si>
    <t xml:space="preserve">del(3)(q24q29)(~50.02Mb,~35%),del(22)(q11.1q13.31)(~28.50Mb,~63%)</t>
  </si>
  <si>
    <t xml:space="preserve">del(22)(q11.1q13.31)(~28.50Mb)</t>
  </si>
  <si>
    <t xml:space="preserve">SML-3,22</t>
  </si>
  <si>
    <t xml:space="preserve">ANJALIDEVI-AD2_L00_R1</t>
  </si>
  <si>
    <t xml:space="preserve">Abnormal</t>
  </si>
  <si>
    <t xml:space="preserve">XY,+X(~46%)</t>
  </si>
  <si>
    <t xml:space="preserve">+X(~46%),+2,+16(~69%)</t>
  </si>
  <si>
    <t xml:space="preserve">+2,+16</t>
  </si>
  <si>
    <t xml:space="preserve">G-2,16</t>
  </si>
  <si>
    <t xml:space="preserve">ANJALIDEVI-AD3_L00_R1</t>
  </si>
  <si>
    <t xml:space="preserve">XX</t>
  </si>
  <si>
    <t xml:space="preserve">-3(~63%),del(7)(q11.22q36.3)(~89.14Mb,~50%),+22</t>
  </si>
  <si>
    <t xml:space="preserve">-3,del(7)(q11.22q36.3)(~89.14Mb),+22</t>
  </si>
  <si>
    <t xml:space="preserve">MCA</t>
  </si>
  <si>
    <t xml:space="preserve">ASHNAGANDHI-AP1_L00_R1</t>
  </si>
  <si>
    <t xml:space="preserve">No copy number abnormality</t>
  </si>
  <si>
    <t xml:space="preserve">Euploid</t>
  </si>
  <si>
    <t xml:space="preserve">ASHNAGANDHI-AP2_L00_R1</t>
  </si>
  <si>
    <t xml:space="preserve">ISHAAMBANI-IA1_L00_R1</t>
  </si>
  <si>
    <t xml:space="preserve">ISHAAMBANI-IA2_L00_R1</t>
  </si>
  <si>
    <t xml:space="preserve">ISHAAMBANI-IA3_L00_R1</t>
  </si>
  <si>
    <t xml:space="preserve">del(5)(p15.33q12.3)(~64.50Mb,~57%),del(10)(q22.3q24.1)(~17.50Mb)</t>
  </si>
  <si>
    <t xml:space="preserve">del(5)(p15.33q12.3)(~64.50Mb),del(10)(q22.3q24.1)(~17.50Mb)</t>
  </si>
  <si>
    <t xml:space="preserve">SL-5,10</t>
  </si>
  <si>
    <t xml:space="preserve">KALPANASONI-KS1_L00_R1</t>
  </si>
  <si>
    <t xml:space="preserve">KALPANASONI-KS2_L00_R1</t>
  </si>
  <si>
    <t xml:space="preserve">KALPANASONI-KS3_L00_R1</t>
  </si>
  <si>
    <t xml:space="preserve">KALPANASONI-KS4_L00_R1</t>
  </si>
  <si>
    <t xml:space="preserve">del(9)(q21.11q34.3)(~70.71Mb)</t>
  </si>
  <si>
    <t xml:space="preserve">SL-9</t>
  </si>
  <si>
    <t xml:space="preserve">KALPANASONI-KS5_L00_R1</t>
  </si>
  <si>
    <t xml:space="preserve">KOKILA-KK2_L00_R1</t>
  </si>
  <si>
    <t xml:space="preserve">+2(~30%),+3(~34%),+6(~36%),+7(~32%)</t>
  </si>
  <si>
    <t xml:space="preserve">Multiple mosaic, complex mosaic</t>
  </si>
  <si>
    <t xml:space="preserve">KOKILA-KK3_L00_R1</t>
  </si>
  <si>
    <t xml:space="preserve">dup(2)(q34q37.3)(~33.20Mb,~47%),-16</t>
  </si>
  <si>
    <t xml:space="preserve">-16</t>
  </si>
  <si>
    <t xml:space="preserve">L-16</t>
  </si>
  <si>
    <t xml:space="preserve">KOKILA-KK4_L00_R1</t>
  </si>
  <si>
    <t xml:space="preserve">KOMALKARNAWAT-KK1_L00_R1</t>
  </si>
  <si>
    <t xml:space="preserve">-22</t>
  </si>
  <si>
    <t xml:space="preserve">L-22</t>
  </si>
  <si>
    <t xml:space="preserve">KOMALKARNAWAT-KK2_L00_R1</t>
  </si>
  <si>
    <t xml:space="preserve">-15(~36%)</t>
  </si>
  <si>
    <t xml:space="preserve">ML-15</t>
  </si>
  <si>
    <t xml:space="preserve">MAYACHOUDHARY-MC1_L00_R1</t>
  </si>
  <si>
    <t xml:space="preserve">dup(10)(q11.23q26.12)(~70.00Mb),del(10)(q26.12q26.3)(~13.53Mb)</t>
  </si>
  <si>
    <t xml:space="preserve">SG,SL-10</t>
  </si>
  <si>
    <t xml:space="preserve">MAYACHOUDHARY-MC2_L00_R1</t>
  </si>
  <si>
    <t xml:space="preserve">XX (Suspected to contain 6% of Y-chromosome)</t>
  </si>
  <si>
    <t xml:space="preserve">-12(~43%),del(21)(q22.11q22.3)(~16.63Mb)</t>
  </si>
  <si>
    <t xml:space="preserve">del(21)(q22.11q22.3)(~16.63Mb)</t>
  </si>
  <si>
    <t xml:space="preserve">SL-21</t>
  </si>
  <si>
    <t xml:space="preserve">MAYACHOUDHARY-MC3_L00_R1</t>
  </si>
  <si>
    <t xml:space="preserve">MAYACHOUDHARY-MC4_L00_R1</t>
  </si>
  <si>
    <t xml:space="preserve">FAIL</t>
  </si>
  <si>
    <t xml:space="preserve">NA</t>
  </si>
  <si>
    <t xml:space="preserve">N/A</t>
  </si>
  <si>
    <t xml:space="preserve">INCONCLUSIVE. LOW READS</t>
  </si>
  <si>
    <t xml:space="preserve">MAYACHOUDHARY-MC5_L00_R1</t>
  </si>
  <si>
    <t xml:space="preserve">del(3)(p22.2p21.31)(~12.00Mb),del(5)(q12.3q14.1)(~15.00Mb),-9(~45%),del(10)(q21.3q22.3)(~11.50Mb),del(15)(q21.3q25.2)(~30.00Mb),dup(16)(p13.13p11.1)(~24.50Mb),del(19)(q13.12q13.43)(~20.00Mb),del(21)(q22.11q22.3)(~16.13Mb)</t>
  </si>
  <si>
    <t xml:space="preserve">del(3)(p22.2p21.31)(~12.00Mb),del(5)(q12.3q14.1)(~12.50Mb),del(10)(q21.3q22.3)(~11.50Mb),del(15)(q21.3q25.2)(~30.00Mb),dup(16)(p13.13p11.1)(~24.50Mb),del(19)(q13.12q13.43)(~20.00Mb),del(21)(q22.11q22.3)(~16.13Mb)</t>
  </si>
  <si>
    <t xml:space="preserve">MCA, CHAOTIC EMBRYO</t>
  </si>
  <si>
    <t xml:space="preserve">MAYACHOUDHARY-MC6_L00_R1</t>
  </si>
  <si>
    <t xml:space="preserve">-19</t>
  </si>
  <si>
    <t xml:space="preserve">L-19</t>
  </si>
  <si>
    <t xml:space="preserve">MAYACHOUDHARY-MC7_L00_R1</t>
  </si>
  <si>
    <t xml:space="preserve">INCONCLUSIVE, HIGH BINCV</t>
  </si>
  <si>
    <t xml:space="preserve">PADMAPANCHAREDDY-PK3-1_L00_R1</t>
  </si>
  <si>
    <t xml:space="preserve">dup(10)(p15.3q26.2)(~128.50Mb,~33%)</t>
  </si>
  <si>
    <t xml:space="preserve">SMG-10</t>
  </si>
  <si>
    <t xml:space="preserve">PALLAVIKV-PB1_L00_R1</t>
  </si>
  <si>
    <t xml:space="preserve">PALLAVIKV-PB2_L00_R1</t>
  </si>
  <si>
    <t xml:space="preserve">del(10)(q21.3q26.3)(~68.53Mb,~67%)</t>
  </si>
  <si>
    <t xml:space="preserve">del(10)(q21.3q26.3)(~68.53Mb)</t>
  </si>
  <si>
    <t xml:space="preserve">SML-10</t>
  </si>
  <si>
    <t xml:space="preserve">POOJAPANDARE-PP1_L00_R1</t>
  </si>
  <si>
    <t xml:space="preserve">LOW DNA CONCENTRATION</t>
  </si>
  <si>
    <t xml:space="preserve">POOJAPANDARE-PP2_L00_R1</t>
  </si>
  <si>
    <t xml:space="preserve">INCONCLUSIVE HIGH MAPD</t>
  </si>
  <si>
    <t xml:space="preserve">PRIYA-PS4_L00_R1</t>
  </si>
  <si>
    <t xml:space="preserve">+16</t>
  </si>
  <si>
    <t xml:space="preserve">G-16</t>
  </si>
  <si>
    <t xml:space="preserve">PRIYA-PS9_L00_R1</t>
  </si>
  <si>
    <t xml:space="preserve">del(7)(p22.3p11.2)(~57.00Mb,~38%)</t>
  </si>
  <si>
    <t xml:space="preserve">SML-7</t>
  </si>
  <si>
    <t xml:space="preserve">SANGEETHA-SP3_L00_R1</t>
  </si>
  <si>
    <t xml:space="preserve">SATHYA-SV1_L00_R1</t>
  </si>
  <si>
    <t xml:space="preserve">+3(~62%),-8(~50%),dup(14)(q32.12q32.33)(~12.85Mb),+16(~44%),dup(22)(q12.3q13.33)(~18.30Mb)</t>
  </si>
  <si>
    <t xml:space="preserve">+3,-8,dup(14)(q32.12q32.33)(~12.85Mb),dup(22)(q12.3q13.33)(~18.30Mb)</t>
  </si>
  <si>
    <t xml:space="preserve">SATHYA-SV2_L00_R1</t>
  </si>
  <si>
    <t xml:space="preserve">+13(~37%),+16(~43%)</t>
  </si>
  <si>
    <t xml:space="preserve">MG-13,16</t>
  </si>
  <si>
    <t xml:space="preserve">SAVITABHAGVANRAO-SA1_L00_R1</t>
  </si>
  <si>
    <t xml:space="preserve">SAVITABHAGVANRAO-SA2_L00_R1</t>
  </si>
  <si>
    <t xml:space="preserve">SHRIRAKSHA-SC1_L00_R1</t>
  </si>
  <si>
    <t xml:space="preserve">SHRIRAKSHA-SC2_L00_R1</t>
  </si>
  <si>
    <t xml:space="preserve">SHRIRAKSHA-SC3_L00_R1</t>
  </si>
  <si>
    <t xml:space="preserve">dup(4)(q28.3q32.1)(~26.00Mb,~46%),del(4)(q32.1q35.2)(~32.15Mb),dup(8)(q24.13q24.3)(~21.36Mb,~36%)</t>
  </si>
  <si>
    <t xml:space="preserve">del(4)(q32.1q35.2)(~32.15Mb)</t>
  </si>
  <si>
    <t xml:space="preserve">SL-4</t>
  </si>
  <si>
    <t xml:space="preserve">SHRIRAKSHA-SC4_L00_R1</t>
  </si>
  <si>
    <t xml:space="preserve">dup(11)(p15.5q14.1)(~81.50Mb,~35%),-16,+17(~33%)</t>
  </si>
  <si>
    <t xml:space="preserve">SHRIRAKSHA-SC5_L00_R1</t>
  </si>
  <si>
    <t xml:space="preserve">del(9)(q21.11q34.3)(~70.71Mb,~40%)</t>
  </si>
  <si>
    <t xml:space="preserve">SML-9</t>
  </si>
  <si>
    <t xml:space="preserve">SHRIRAKSHA-SC8_L00_R1</t>
  </si>
  <si>
    <t xml:space="preserve">del(2)(p25.3p12)(~82.00Mb,~70%)</t>
  </si>
  <si>
    <t xml:space="preserve">del(2)(p25.3p12)(~82.00Mb)</t>
  </si>
  <si>
    <t xml:space="preserve">SML-2</t>
  </si>
  <si>
    <t xml:space="preserve">SHYMOLIDAS-ST1_L00_R1</t>
  </si>
  <si>
    <t xml:space="preserve">SHYMOLIDAS-ST2_L00_R1</t>
  </si>
  <si>
    <t xml:space="preserve">INCONCLUSIVE, LOW READS</t>
  </si>
  <si>
    <t xml:space="preserve">SHYMOLIDAS-ST3_L00_R1</t>
  </si>
  <si>
    <t xml:space="preserve">SIRIGIREDDY-SL1_L00_R1</t>
  </si>
  <si>
    <t xml:space="preserve">STHITAPRAGYANSAHOO-SM1_L00_R1</t>
  </si>
  <si>
    <t xml:space="preserve">STHITAPRAGYANSAHOO-SM2_L00_R1</t>
  </si>
  <si>
    <t xml:space="preserve">+7(~68%)</t>
  </si>
  <si>
    <t xml:space="preserve">+7</t>
  </si>
  <si>
    <t xml:space="preserve">MG-7</t>
  </si>
  <si>
    <t xml:space="preserve">SUJATASHINDE-SP1_L00_R1</t>
  </si>
  <si>
    <t xml:space="preserve">TEJASHREE-TP1_L00_R1</t>
  </si>
  <si>
    <t xml:space="preserve">-2(~30%),dup(6)(p25.3p11.2)(~58.00Mb,~50%),-12(~56%)</t>
  </si>
  <si>
    <t xml:space="preserve">dup(6)(p25.3p11.2)(~58.00Mb),-12</t>
  </si>
  <si>
    <t xml:space="preserve">YAZHINI-YT1_L00_R1</t>
  </si>
  <si>
    <t xml:space="preserve">YAZHINI-YT2_L00_R1</t>
  </si>
  <si>
    <t xml:space="preserve">YAZHINI-YT3_L00_R1</t>
  </si>
  <si>
    <t xml:space="preserve">dup(8)(q23.3q24.3)(~32.36Mb,~39%)</t>
  </si>
  <si>
    <t xml:space="preserve">SMG-8</t>
  </si>
  <si>
    <t xml:space="preserve">S.NO</t>
  </si>
  <si>
    <t xml:space="preserve">Date of Biopsy</t>
  </si>
  <si>
    <t xml:space="preserve">Date Sample Received</t>
  </si>
  <si>
    <t xml:space="preserve">Date TRF received</t>
  </si>
  <si>
    <t xml:space="preserve">Received by</t>
  </si>
  <si>
    <t xml:space="preserve">BOX Number</t>
  </si>
  <si>
    <t xml:space="preserve">Sample ID</t>
  </si>
  <si>
    <t xml:space="preserve">Remarks</t>
  </si>
  <si>
    <t xml:space="preserve">Patient Name</t>
  </si>
  <si>
    <t xml:space="preserve">NUMBER OF EMBRYOS</t>
  </si>
  <si>
    <t xml:space="preserve">Embryo Name</t>
  </si>
  <si>
    <t xml:space="preserve">Controls WGA &amp; seq controls</t>
  </si>
  <si>
    <t xml:space="preserve">Test Name</t>
  </si>
  <si>
    <t xml:space="preserve">Center name</t>
  </si>
  <si>
    <t xml:space="preserve">Location</t>
  </si>
  <si>
    <t xml:space="preserve">EMBRYOLOGIST NAME</t>
  </si>
  <si>
    <t xml:space="preserve">WGA DONE ON</t>
  </si>
  <si>
    <t xml:space="preserve">KIT DETAIL</t>
  </si>
  <si>
    <t xml:space="preserve">WGA Done by</t>
  </si>
  <si>
    <t xml:space="preserve">WGA Storage Box</t>
  </si>
  <si>
    <t xml:space="preserve">SEQ DATE</t>
  </si>
  <si>
    <t xml:space="preserve">SEQ Platform</t>
  </si>
  <si>
    <t xml:space="preserve">Attune upload</t>
  </si>
  <si>
    <t xml:space="preserve">NGS Report</t>
  </si>
  <si>
    <t xml:space="preserve">ADITHYA</t>
  </si>
  <si>
    <t xml:space="preserve">NOV25P406</t>
  </si>
  <si>
    <t xml:space="preserve">AND25630004191</t>
  </si>
  <si>
    <t xml:space="preserve">SATHYA</t>
  </si>
  <si>
    <t xml:space="preserve">SV-1,2</t>
  </si>
  <si>
    <t xml:space="preserve">NC1</t>
  </si>
  <si>
    <t xml:space="preserve">A4 FERTILITY CENTRE</t>
  </si>
  <si>
    <t xml:space="preserve">CHENNAI</t>
  </si>
  <si>
    <t xml:space="preserve">ARCHANA MANIKERE</t>
  </si>
  <si>
    <t xml:space="preserve">CHROMINST</t>
  </si>
  <si>
    <t xml:space="preserve">ARUN</t>
  </si>
  <si>
    <t xml:space="preserve">Surfseq</t>
  </si>
  <si>
    <t xml:space="preserve">DR MOHAN</t>
  </si>
  <si>
    <t xml:space="preserve">NOV25P471</t>
  </si>
  <si>
    <t xml:space="preserve">SAVITA BHAGVANRAO</t>
  </si>
  <si>
    <t xml:space="preserve">SA-1,2</t>
  </si>
  <si>
    <t xml:space="preserve">SAC</t>
  </si>
  <si>
    <t xml:space="preserve">CLOUDNINE HOSPITAL</t>
  </si>
  <si>
    <t xml:space="preserve">PUNE</t>
  </si>
  <si>
    <t xml:space="preserve">NIRANJAN LAL</t>
  </si>
  <si>
    <t xml:space="preserve">DEC25P54</t>
  </si>
  <si>
    <t xml:space="preserve">STHITAPRAGYAN SAHOO</t>
  </si>
  <si>
    <t xml:space="preserve">SM-1,2</t>
  </si>
  <si>
    <t xml:space="preserve">SMC-1,2</t>
  </si>
  <si>
    <t xml:space="preserve">SHANTHI SHALL FERTILITY CENTRE</t>
  </si>
  <si>
    <t xml:space="preserve">BANGALORE</t>
  </si>
  <si>
    <t xml:space="preserve">BEMSEM</t>
  </si>
  <si>
    <t xml:space="preserve">NOV25P185</t>
  </si>
  <si>
    <t xml:space="preserve">DOCTOR SEAL NOT AVAILABLE AND CONSENT FORM NOT AVAILABLE. RECEIVED ON 05.01.2025.</t>
  </si>
  <si>
    <t xml:space="preserve">YAZHINI</t>
  </si>
  <si>
    <t xml:space="preserve">YT-1,2,3</t>
  </si>
  <si>
    <t xml:space="preserve">C1</t>
  </si>
  <si>
    <t xml:space="preserve">CARE FERTILITY PVT LTD</t>
  </si>
  <si>
    <t xml:space="preserve">RAVI NIRWANI</t>
  </si>
  <si>
    <t xml:space="preserve">DEC25P188</t>
  </si>
  <si>
    <t xml:space="preserve">AND25630004208</t>
  </si>
  <si>
    <t xml:space="preserve">SHYMOLI DAS</t>
  </si>
  <si>
    <t xml:space="preserve">ST-1,2,3</t>
  </si>
  <si>
    <t xml:space="preserve">STO</t>
  </si>
  <si>
    <t xml:space="preserve">APOLLO FERTILITY CENTRE</t>
  </si>
  <si>
    <t xml:space="preserve">MADHAN KUMAR E K</t>
  </si>
  <si>
    <t xml:space="preserve">DC25P53</t>
  </si>
  <si>
    <t xml:space="preserve">PALLAVI KV</t>
  </si>
  <si>
    <t xml:space="preserve">PB-1,2</t>
  </si>
  <si>
    <t xml:space="preserve">PBC-1,2</t>
  </si>
  <si>
    <t xml:space="preserve">NOV25P459</t>
  </si>
  <si>
    <t xml:space="preserve">AND25420006206</t>
  </si>
  <si>
    <t xml:space="preserve">PADMA PANCHAREDDY</t>
  </si>
  <si>
    <t xml:space="preserve">PK3.1</t>
  </si>
  <si>
    <t xml:space="preserve">B,C</t>
  </si>
  <si>
    <t xml:space="preserve">HEGDE HOSPITAL</t>
  </si>
  <si>
    <t xml:space="preserve">MADHAPUR</t>
  </si>
  <si>
    <t xml:space="preserve">NISHANTH SINGH</t>
  </si>
  <si>
    <t xml:space="preserve">DC25P13</t>
  </si>
  <si>
    <t xml:space="preserve">SUJATA SHINDE</t>
  </si>
  <si>
    <t xml:space="preserve">SP1</t>
  </si>
  <si>
    <t xml:space="preserve">SPC</t>
  </si>
  <si>
    <t xml:space="preserve">DC25P55</t>
  </si>
  <si>
    <t xml:space="preserve">AND25630004206</t>
  </si>
  <si>
    <t xml:space="preserve">PRIYA</t>
  </si>
  <si>
    <t xml:space="preserve">PS-4,9</t>
  </si>
  <si>
    <t xml:space="preserve">NOVA IVF FERTILITY</t>
  </si>
  <si>
    <t xml:space="preserve">RAJ PRIYA PANDIAN</t>
  </si>
  <si>
    <t xml:space="preserve">REG 05-01-2026</t>
  </si>
  <si>
    <t xml:space="preserve">SIRIGIREDDY</t>
  </si>
  <si>
    <t xml:space="preserve">SL1</t>
  </si>
  <si>
    <t xml:space="preserve">NC</t>
  </si>
  <si>
    <t xml:space="preserve">JAYARAMAN</t>
  </si>
  <si>
    <t xml:space="preserve">NOV25P134</t>
  </si>
  <si>
    <t xml:space="preserve">MAYACHOUDHARY</t>
  </si>
  <si>
    <t xml:space="preserve">MC-1,2,3,4,5,6,7</t>
  </si>
  <si>
    <t xml:space="preserve">NC-1,2</t>
  </si>
  <si>
    <t xml:space="preserve">SUNANDA IVF</t>
  </si>
  <si>
    <t xml:space="preserve">KOLHAPUR</t>
  </si>
  <si>
    <t xml:space="preserve">AMAR NIKAM</t>
  </si>
  <si>
    <t xml:space="preserve">DC25P37</t>
  </si>
  <si>
    <t xml:space="preserve">AND25420006214</t>
  </si>
  <si>
    <t xml:space="preserve">ANJALI DEVI P A S</t>
  </si>
  <si>
    <t xml:space="preserve">AD-1,2,3</t>
  </si>
  <si>
    <t xml:space="preserve">AD1.</t>
  </si>
  <si>
    <t xml:space="preserve">SHUBHA FERTILITY</t>
  </si>
  <si>
    <t xml:space="preserve">HYDERABAD</t>
  </si>
  <si>
    <t xml:space="preserve">RAJSHEKHAR</t>
  </si>
  <si>
    <t xml:space="preserve">NOV25P259</t>
  </si>
  <si>
    <t xml:space="preserve">POOJA PANDARE</t>
  </si>
  <si>
    <t xml:space="preserve">PP-1,2</t>
  </si>
  <si>
    <t xml:space="preserve">PP.</t>
  </si>
  <si>
    <t xml:space="preserve">SUNSHINE FERTILITY &amp; IVF CENTRE</t>
  </si>
  <si>
    <t xml:space="preserve">MUMBAI</t>
  </si>
  <si>
    <t xml:space="preserve">MURNAL ETOSAVI</t>
  </si>
  <si>
    <t xml:space="preserve">DC25P60</t>
  </si>
  <si>
    <t xml:space="preserve">SHRIRAKSHA</t>
  </si>
  <si>
    <t xml:space="preserve">SC-1,2,3,4,5,8</t>
  </si>
  <si>
    <t xml:space="preserve">GARBHAGUDI IVF CENTRE</t>
  </si>
  <si>
    <t xml:space="preserve">NOV25P475</t>
  </si>
  <si>
    <t xml:space="preserve">KOMAL KARNAWAT</t>
  </si>
  <si>
    <t xml:space="preserve">KK-1,2</t>
  </si>
  <si>
    <t xml:space="preserve">KK.-1,2</t>
  </si>
  <si>
    <t xml:space="preserve">SWASTI IVF &amp; FERTILITY</t>
  </si>
  <si>
    <t xml:space="preserve">NASHIK</t>
  </si>
  <si>
    <t xml:space="preserve">SUSHIL WAGHMARE</t>
  </si>
  <si>
    <t xml:space="preserve">NOV25P191</t>
  </si>
  <si>
    <t xml:space="preserve">KALPANA SONI</t>
  </si>
  <si>
    <t xml:space="preserve">KS-1,2,3,4,5</t>
  </si>
  <si>
    <t xml:space="preserve">INDORE INFERTILITY CLINIC</t>
  </si>
  <si>
    <t xml:space="preserve">INDORE</t>
  </si>
  <si>
    <t xml:space="preserve">DOEL PANDE</t>
  </si>
  <si>
    <t xml:space="preserve">NOV25P241</t>
  </si>
  <si>
    <t xml:space="preserve">TEST NEED TO CONFIRM. PGTA CONFIRMED ON 05.01.2025</t>
  </si>
  <si>
    <t xml:space="preserve">ISHA AMBANI</t>
  </si>
  <si>
    <t xml:space="preserve">IA-1,2,3</t>
  </si>
  <si>
    <t xml:space="preserve">IAB</t>
  </si>
  <si>
    <t xml:space="preserve">SURAT</t>
  </si>
  <si>
    <t xml:space="preserve">ROHIT SHARMA</t>
  </si>
  <si>
    <t xml:space="preserve">DC25P195</t>
  </si>
  <si>
    <t xml:space="preserve">TP2 AND 3 HAS TO BE SEQUENCED in next batch</t>
  </si>
  <si>
    <t xml:space="preserve">TEJASHREE L S</t>
  </si>
  <si>
    <t xml:space="preserve">TP-1,2,3</t>
  </si>
  <si>
    <t xml:space="preserve">TPC-1,2,3</t>
  </si>
  <si>
    <t xml:space="preserve">NOV25P410</t>
  </si>
  <si>
    <t xml:space="preserve">AND25630004236</t>
  </si>
  <si>
    <t xml:space="preserve">SANGEETHA</t>
  </si>
  <si>
    <t xml:space="preserve">SP3</t>
  </si>
  <si>
    <t xml:space="preserve">RAJESH KUMAR</t>
  </si>
  <si>
    <t xml:space="preserve">DC25P186</t>
  </si>
  <si>
    <t xml:space="preserve">REG 07-01-2026</t>
  </si>
  <si>
    <t xml:space="preserve">KK1 has to be SEQUENCED in next batch</t>
  </si>
  <si>
    <t xml:space="preserve">KOKILA</t>
  </si>
  <si>
    <t xml:space="preserve">KK-1,2,3,4</t>
  </si>
  <si>
    <t xml:space="preserve">NC-1,2,3,4</t>
  </si>
  <si>
    <t xml:space="preserve">BHARATI FERTILITY CENTRE</t>
  </si>
  <si>
    <t xml:space="preserve">VENKATRAMAN</t>
  </si>
  <si>
    <t xml:space="preserve">NOV25P407</t>
  </si>
  <si>
    <t xml:space="preserve">ASHNA GANDHI</t>
  </si>
  <si>
    <t xml:space="preserve">AP-1,2</t>
  </si>
  <si>
    <t xml:space="preserve">APC</t>
  </si>
  <si>
    <t xml:space="preserve">NOIDA</t>
  </si>
  <si>
    <t xml:space="preserve">CHETNA GOSWAMI</t>
  </si>
  <si>
    <t xml:space="preserve">SAVITA_BHAGVANRAO</t>
  </si>
  <si>
    <t xml:space="preserve">STHITAPRAGYAN_SAHOO</t>
  </si>
  <si>
    <t xml:space="preserve">SHYMOLI_DAS</t>
  </si>
  <si>
    <t xml:space="preserve">PALLAVI_KV</t>
  </si>
  <si>
    <t xml:space="preserve">PADMA_PANCHAREDDY</t>
  </si>
  <si>
    <t xml:space="preserve">SUJATA_SHINDE</t>
  </si>
  <si>
    <t xml:space="preserve">ANJALI_DEVI_P_A_S</t>
  </si>
  <si>
    <t xml:space="preserve">POOJA_PANDARE</t>
  </si>
  <si>
    <t xml:space="preserve">KOMAL_KARNAWAT</t>
  </si>
  <si>
    <t xml:space="preserve">KALPANA_SONI</t>
  </si>
  <si>
    <t xml:space="preserve">ISHA_AMBANI</t>
  </si>
  <si>
    <t xml:space="preserve">TEJASHREE_L_S</t>
  </si>
  <si>
    <t xml:space="preserve">RASHMI_G</t>
  </si>
  <si>
    <t xml:space="preserve">ASHNA_GANDHI</t>
  </si>
  <si>
    <t xml:space="preserve">Checked</t>
  </si>
  <si>
    <t xml:space="preserve">Kindly confirm the sample receipt date</t>
  </si>
  <si>
    <t xml:space="preserve">Confirm the sample receipt date</t>
  </si>
  <si>
    <t xml:space="preserve">confirm the receipt date</t>
  </si>
  <si>
    <t xml:space="preserve">1. kindly confirm sample receipt date not mention in TRF</t>
  </si>
  <si>
    <t xml:space="preserve">1. Kindly confirm husband name </t>
  </si>
  <si>
    <t xml:space="preserve">2. Kindly confirm the hospital address </t>
  </si>
  <si>
    <t xml:space="preserve">3. Kindly confirm sample receipt date</t>
  </si>
  <si>
    <t xml:space="preserve">1. kindly confirm embryologist name </t>
  </si>
  <si>
    <t xml:space="preserve">2. Kindly confirm sample receipt date</t>
  </si>
  <si>
    <t xml:space="preserve">1. Kindly confirm sample receipt date no mention in TRF</t>
  </si>
  <si>
    <t xml:space="preserve">checked</t>
  </si>
  <si>
    <t xml:space="preserve">1. Please recheck the CNV chart of embryo SC-4 and SC-8</t>
  </si>
  <si>
    <t xml:space="preserve">2. Kindly check if the indication on the CNV chart of SC-5 can be added</t>
  </si>
  <si>
    <t xml:space="preserve">1. Please confirm the hospital name and address (a different name is written on the TRF)</t>
  </si>
  <si>
    <t xml:space="preserve">2. Please change the indication to advanced maternal age and history of pregnancy loss</t>
  </si>
  <si>
    <t xml:space="preserve">Include history of pregnancy loss in indication</t>
  </si>
  <si>
    <t xml:space="preserve">1. It says rebiopsy on the TRF. Please confirm</t>
  </si>
  <si>
    <t xml:space="preserve">2. Please confirm if it is self or donor gametes. Its not mentioned on the TRF.</t>
  </si>
  <si>
    <t xml:space="preserve">1. Kindly check CNV chart of chromosome 6 of embryo AP1 </t>
  </si>
  <si>
    <t xml:space="preserve">2. Kindly check CNV chart of chromosome 8 of embryo AP2</t>
  </si>
  <si>
    <t xml:space="preserve">REPEAT: </t>
  </si>
  <si>
    <t xml:space="preserve">RUN48-SS-PGS-07-01-2025</t>
  </si>
  <si>
    <t xml:space="preserve">NO OF EMBRYOS: 54</t>
  </si>
  <si>
    <t xml:space="preserve"> Patient Name</t>
  </si>
  <si>
    <t xml:space="preserve">No. of Embryos received</t>
  </si>
  <si>
    <t xml:space="preserve">Client Name</t>
  </si>
  <si>
    <t xml:space="preserve">Embryologist</t>
  </si>
  <si>
    <t xml:space="preserve">WGA Conc. (ng/µL)</t>
  </si>
  <si>
    <t xml:space="preserve">Embryo Details</t>
  </si>
  <si>
    <t xml:space="preserve">Result Summary</t>
  </si>
  <si>
    <t xml:space="preserve">MC4</t>
  </si>
  <si>
    <t xml:space="preserve">Low DNA concentration. Suggested by Dr.Fiona</t>
  </si>
  <si>
    <t xml:space="preserve">MC7</t>
  </si>
  <si>
    <t xml:space="preserve">MCA. Suggested by Dr.Fiona</t>
  </si>
  <si>
    <t xml:space="preserve">POOJAPANDARE</t>
  </si>
  <si>
    <t xml:space="preserve">PP1</t>
  </si>
  <si>
    <t xml:space="preserve">PP2</t>
  </si>
  <si>
    <t xml:space="preserve">SHYMOLIDA</t>
  </si>
  <si>
    <t xml:space="preserve">ST2</t>
  </si>
  <si>
    <t xml:space="preserve">ST3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</si>
</sst>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Aptos Narrow"/>
      <family val="2"/>
      <charset val="1"/>
    </font>
    <font>
      <sz val="9"/>
      <color rgb="FF202020"/>
      <name val="Roboto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B6D7A8"/>
      </patternFill>
    </fill>
    <fill>
      <patternFill patternType="solid">
        <fgColor rgb="FFB3A2C7"/>
        <bgColor rgb="FF9999FF"/>
      </patternFill>
    </fill>
    <fill>
      <patternFill patternType="solid">
        <fgColor rgb="FF8EB4E3"/>
        <bgColor rgb="FF9999FF"/>
      </patternFill>
    </fill>
    <fill>
      <patternFill patternType="solid">
        <fgColor rgb="FFFAC090"/>
        <bgColor rgb="FFDDD9C3"/>
      </patternFill>
    </fill>
    <fill>
      <patternFill patternType="solid">
        <fgColor rgb="FFDDD9C3"/>
        <bgColor rgb="FFCCCCCC"/>
      </patternFill>
    </fill>
    <fill>
      <patternFill patternType="solid">
        <fgColor rgb="FFDE7EE8"/>
        <bgColor rgb="FFB3A2C7"/>
      </patternFill>
    </fill>
    <fill>
      <patternFill patternType="solid">
        <fgColor rgb="FFB6D7A8"/>
        <bgColor rgb="FFCCCCCC"/>
      </patternFill>
    </fill>
    <fill>
      <patternFill patternType="solid">
        <fgColor rgb="FFFF9900"/>
        <bgColor rgb="FFFFCC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medium">
        <color rgb="FFCCCCCC"/>
      </left>
      <right style="medium"/>
      <top/>
      <bottom style="medium"/>
      <diagonal/>
    </border>
    <border diagonalUp="false" diagonalDown="false">
      <left style="medium">
        <color rgb="FFCCCCCC"/>
      </left>
      <right style="medium">
        <color rgb="FFCCCCCC"/>
      </right>
      <top/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1"/>
    <cellStyle name="Normal 3 2" xfId="22"/>
    <cellStyle name="Normal 4 2" xfId="23"/>
    <cellStyle name="Normal 5 2" xfId="24"/>
    <cellStyle name="Normal 6 2" xfId="25"/>
    <cellStyle name="Normal 7 2" xfId="26"/>
    <cellStyle name="*unknown*" xfId="20" builtinId="8"/>
  </cellStyles>
  <dxfs count="4">
    <dxf>
      <fill>
        <patternFill patternType="solid">
          <fgColor rgb="FFDDD9C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6D7A8"/>
      <rgbColor rgb="FFFFFF99"/>
      <rgbColor rgb="FF8EB4E3"/>
      <rgbColor rgb="FFDE7EE8"/>
      <rgbColor rgb="FFB3A2C7"/>
      <rgbColor rgb="FFFAC09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69"/>
  <sheetViews>
    <sheetView showFormulas="false" showGridLines="true" showRowColHeaders="true" showZeros="true" rightToLeft="false" tabSelected="true" showOutlineSymbols="true" defaultGridColor="true" view="normal" topLeftCell="A13" colorId="64" zoomScale="80" zoomScaleNormal="80" zoomScalePageLayoutView="100" workbookViewId="0">
      <selection pane="topLeft" activeCell="I55" activeCellId="0" sqref="I55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29.33"/>
    <col collapsed="false" customWidth="true" hidden="false" outlineLevel="0" max="2" min="2" style="0" width="19"/>
    <col collapsed="false" customWidth="true" hidden="false" outlineLevel="0" max="4" min="4" style="0" width="18.33"/>
    <col collapsed="false" customWidth="true" hidden="false" outlineLevel="0" max="6" min="6" style="1" width="62.33"/>
    <col collapsed="false" customWidth="true" hidden="false" outlineLevel="0" max="7" min="7" style="1" width="55.33"/>
    <col collapsed="false" customWidth="true" hidden="false" outlineLevel="0" max="8" min="8" style="2" width="26"/>
    <col collapsed="false" customWidth="true" hidden="false" outlineLevel="0" max="15" min="15" style="0" width="14.01"/>
  </cols>
  <sheetData>
    <row r="1" customFormat="false" ht="14.25" hidden="false" customHeight="false" outlineLevel="0" collapsed="false">
      <c r="A1" s="3"/>
      <c r="B1" s="3"/>
    </row>
    <row r="2" customFormat="false" ht="14.25" hidden="false" customHeight="false" outlineLevel="0" collapsed="false">
      <c r="G2" s="1" t="s">
        <v>0</v>
      </c>
    </row>
    <row r="3" customFormat="false" ht="14.25" hidden="false" customHeight="false" outlineLevel="0" collapsed="false">
      <c r="G3" s="4" t="s">
        <v>1</v>
      </c>
    </row>
    <row r="4" customFormat="false" ht="14.25" hidden="false" customHeight="false" outlineLevel="0" collapsed="false">
      <c r="G4" s="5" t="s">
        <v>2</v>
      </c>
    </row>
    <row r="5" customFormat="false" ht="14.25" hidden="false" customHeight="false" outlineLevel="0" collapsed="false">
      <c r="G5" s="6" t="s">
        <v>3</v>
      </c>
    </row>
    <row r="6" customFormat="false" ht="14.25" hidden="false" customHeight="false" outlineLevel="0" collapsed="false">
      <c r="G6" s="7" t="s">
        <v>4</v>
      </c>
    </row>
    <row r="13" customFormat="false" ht="14.25" hidden="false" customHeight="false" outlineLevel="0" collapsed="false">
      <c r="A13" s="8" t="s">
        <v>5</v>
      </c>
      <c r="B13" s="8"/>
      <c r="C13" s="9"/>
      <c r="D13" s="9"/>
      <c r="E13" s="9"/>
      <c r="F13" s="10"/>
      <c r="G13" s="10"/>
      <c r="H13" s="11"/>
      <c r="I13" s="9"/>
      <c r="J13" s="9"/>
      <c r="K13" s="9"/>
      <c r="L13" s="9"/>
      <c r="M13" s="9"/>
      <c r="N13" s="9"/>
    </row>
    <row r="14" s="12" customFormat="true" ht="14.25" hidden="false" customHeight="false" outlineLevel="0" collapsed="false">
      <c r="A14" s="12" t="s">
        <v>6</v>
      </c>
      <c r="B14" s="12" t="s">
        <v>7</v>
      </c>
      <c r="C14" s="12" t="s">
        <v>8</v>
      </c>
      <c r="D14" s="12" t="s">
        <v>9</v>
      </c>
      <c r="E14" s="12" t="s">
        <v>10</v>
      </c>
      <c r="F14" s="13" t="s">
        <v>11</v>
      </c>
      <c r="G14" s="13" t="s">
        <v>12</v>
      </c>
      <c r="H14" s="14" t="s">
        <v>13</v>
      </c>
      <c r="I14" s="12" t="s">
        <v>14</v>
      </c>
      <c r="J14" s="12" t="s">
        <v>15</v>
      </c>
      <c r="K14" s="12" t="s">
        <v>16</v>
      </c>
      <c r="L14" s="12" t="s">
        <v>17</v>
      </c>
      <c r="M14" s="12" t="s">
        <v>18</v>
      </c>
      <c r="N14" s="12" t="s">
        <v>19</v>
      </c>
      <c r="O14" s="15"/>
    </row>
    <row r="15" customFormat="false" ht="14.25" hidden="false" customHeight="false" outlineLevel="0" collapsed="false">
      <c r="A15" s="9" t="s">
        <v>20</v>
      </c>
      <c r="B15" s="16" t="s">
        <v>21</v>
      </c>
      <c r="C15" s="9" t="s">
        <v>22</v>
      </c>
      <c r="D15" s="9" t="s">
        <v>23</v>
      </c>
      <c r="E15" s="9" t="s">
        <v>24</v>
      </c>
      <c r="F15" s="9" t="s">
        <v>25</v>
      </c>
      <c r="G15" s="17" t="s">
        <v>26</v>
      </c>
      <c r="H15" s="11" t="s">
        <v>27</v>
      </c>
      <c r="I15" s="9" t="n">
        <v>30.6</v>
      </c>
      <c r="J15" s="9" t="n">
        <v>4886376</v>
      </c>
      <c r="K15" s="9" t="n">
        <v>0.098</v>
      </c>
      <c r="L15" s="9" t="n">
        <v>0.100946953301675</v>
      </c>
      <c r="M15" s="9" t="n">
        <v>0.0905469100145194</v>
      </c>
      <c r="N15" s="9" t="n">
        <v>0.0648524880670064</v>
      </c>
    </row>
    <row r="16" customFormat="false" ht="14.25" hidden="false" customHeight="false" outlineLevel="0" collapsed="false">
      <c r="A16" s="9" t="s">
        <v>28</v>
      </c>
      <c r="B16" s="16" t="s">
        <v>21</v>
      </c>
      <c r="C16" s="9" t="s">
        <v>22</v>
      </c>
      <c r="D16" s="9" t="s">
        <v>29</v>
      </c>
      <c r="E16" s="9" t="s">
        <v>30</v>
      </c>
      <c r="F16" s="18" t="s">
        <v>31</v>
      </c>
      <c r="G16" s="9" t="s">
        <v>32</v>
      </c>
      <c r="H16" s="11" t="s">
        <v>33</v>
      </c>
      <c r="I16" s="9" t="n">
        <v>33.6</v>
      </c>
      <c r="J16" s="9" t="n">
        <v>4904890</v>
      </c>
      <c r="K16" s="9" t="n">
        <v>0.083</v>
      </c>
      <c r="L16" s="9" t="n">
        <v>0.0789724903164355</v>
      </c>
      <c r="M16" s="9" t="n">
        <v>0.117181773103976</v>
      </c>
      <c r="N16" s="9" t="n">
        <v>0.113933025569632</v>
      </c>
    </row>
    <row r="17" customFormat="false" ht="14.25" hidden="false" customHeight="false" outlineLevel="0" collapsed="false">
      <c r="A17" s="9" t="s">
        <v>34</v>
      </c>
      <c r="B17" s="16" t="s">
        <v>21</v>
      </c>
      <c r="C17" s="9" t="s">
        <v>22</v>
      </c>
      <c r="D17" s="9" t="s">
        <v>29</v>
      </c>
      <c r="E17" s="9" t="s">
        <v>35</v>
      </c>
      <c r="F17" s="18" t="s">
        <v>36</v>
      </c>
      <c r="G17" s="9" t="s">
        <v>37</v>
      </c>
      <c r="H17" s="11" t="s">
        <v>38</v>
      </c>
      <c r="I17" s="9" t="n">
        <v>30.1</v>
      </c>
      <c r="J17" s="9" t="n">
        <v>4268644</v>
      </c>
      <c r="K17" s="9" t="n">
        <v>0.096</v>
      </c>
      <c r="L17" s="9" t="n">
        <v>0.084388104926322</v>
      </c>
      <c r="M17" s="9" t="n">
        <v>0.104409711560247</v>
      </c>
      <c r="N17" s="9" t="n">
        <v>0.0414018689228407</v>
      </c>
    </row>
    <row r="18" customFormat="false" ht="14.25" hidden="false" customHeight="false" outlineLevel="0" collapsed="false">
      <c r="A18" s="9" t="s">
        <v>39</v>
      </c>
      <c r="B18" s="16" t="s">
        <v>21</v>
      </c>
      <c r="C18" s="9" t="s">
        <v>22</v>
      </c>
      <c r="D18" s="9" t="s">
        <v>40</v>
      </c>
      <c r="E18" s="9" t="s">
        <v>35</v>
      </c>
      <c r="F18" s="9" t="s">
        <v>41</v>
      </c>
      <c r="G18" s="9" t="s">
        <v>41</v>
      </c>
      <c r="H18" s="11" t="s">
        <v>41</v>
      </c>
      <c r="I18" s="9" t="n">
        <v>27.5</v>
      </c>
      <c r="J18" s="9" t="n">
        <v>5665476</v>
      </c>
      <c r="K18" s="9" t="n">
        <v>0.063</v>
      </c>
      <c r="L18" s="9" t="n">
        <v>0.0569869205512918</v>
      </c>
      <c r="M18" s="9" t="n">
        <v>0.0640099475893661</v>
      </c>
      <c r="N18" s="9" t="n">
        <v>0.0500388465214037</v>
      </c>
    </row>
    <row r="19" customFormat="false" ht="14.25" hidden="false" customHeight="false" outlineLevel="0" collapsed="false">
      <c r="A19" s="9" t="s">
        <v>42</v>
      </c>
      <c r="B19" s="16" t="s">
        <v>21</v>
      </c>
      <c r="C19" s="9" t="s">
        <v>22</v>
      </c>
      <c r="D19" s="9" t="s">
        <v>40</v>
      </c>
      <c r="E19" s="9" t="s">
        <v>35</v>
      </c>
      <c r="F19" s="9" t="s">
        <v>41</v>
      </c>
      <c r="G19" s="9" t="s">
        <v>41</v>
      </c>
      <c r="H19" s="11" t="s">
        <v>41</v>
      </c>
      <c r="I19" s="9" t="n">
        <v>25</v>
      </c>
      <c r="J19" s="9" t="n">
        <v>5758874</v>
      </c>
      <c r="K19" s="9" t="n">
        <v>0.07</v>
      </c>
      <c r="L19" s="9" t="n">
        <v>0.0660242813374485</v>
      </c>
      <c r="M19" s="9" t="n">
        <v>0.0303676718173647</v>
      </c>
      <c r="N19" s="9" t="n">
        <v>0.0267746446126176</v>
      </c>
    </row>
    <row r="20" customFormat="false" ht="14.25" hidden="false" customHeight="false" outlineLevel="0" collapsed="false">
      <c r="A20" s="9" t="s">
        <v>43</v>
      </c>
      <c r="B20" s="16" t="s">
        <v>21</v>
      </c>
      <c r="C20" s="9" t="s">
        <v>22</v>
      </c>
      <c r="D20" s="9" t="s">
        <v>40</v>
      </c>
      <c r="E20" s="9" t="s">
        <v>24</v>
      </c>
      <c r="F20" s="9" t="s">
        <v>41</v>
      </c>
      <c r="G20" s="9" t="s">
        <v>41</v>
      </c>
      <c r="H20" s="11" t="s">
        <v>41</v>
      </c>
      <c r="I20" s="9" t="n">
        <v>34.7</v>
      </c>
      <c r="J20" s="9" t="n">
        <v>4455634</v>
      </c>
      <c r="K20" s="9" t="n">
        <v>0.064</v>
      </c>
      <c r="L20" s="9" t="n">
        <v>0.0551832569476497</v>
      </c>
      <c r="M20" s="9" t="n">
        <v>0.0144014620063196</v>
      </c>
      <c r="N20" s="9" t="n">
        <v>0.0168422588251362</v>
      </c>
    </row>
    <row r="21" customFormat="false" ht="14.25" hidden="false" customHeight="false" outlineLevel="0" collapsed="false">
      <c r="A21" s="9" t="s">
        <v>44</v>
      </c>
      <c r="B21" s="16" t="s">
        <v>21</v>
      </c>
      <c r="C21" s="9" t="s">
        <v>22</v>
      </c>
      <c r="D21" s="9" t="s">
        <v>40</v>
      </c>
      <c r="E21" s="9" t="s">
        <v>24</v>
      </c>
      <c r="F21" s="9" t="s">
        <v>41</v>
      </c>
      <c r="G21" s="9" t="s">
        <v>41</v>
      </c>
      <c r="H21" s="11" t="s">
        <v>41</v>
      </c>
      <c r="I21" s="9" t="n">
        <v>35.4</v>
      </c>
      <c r="J21" s="9" t="n">
        <v>4244543</v>
      </c>
      <c r="K21" s="9" t="n">
        <v>0.08</v>
      </c>
      <c r="L21" s="9" t="n">
        <v>0.0723015713880803</v>
      </c>
      <c r="M21" s="9" t="n">
        <v>0.073451268470192</v>
      </c>
      <c r="N21" s="9" t="n">
        <v>0.0594131182347941</v>
      </c>
    </row>
    <row r="22" customFormat="false" ht="14.25" hidden="false" customHeight="false" outlineLevel="0" collapsed="false">
      <c r="A22" s="9" t="s">
        <v>45</v>
      </c>
      <c r="B22" s="16" t="s">
        <v>21</v>
      </c>
      <c r="C22" s="9" t="s">
        <v>22</v>
      </c>
      <c r="D22" s="9" t="s">
        <v>29</v>
      </c>
      <c r="E22" s="9" t="s">
        <v>24</v>
      </c>
      <c r="F22" s="18" t="s">
        <v>46</v>
      </c>
      <c r="G22" s="9" t="s">
        <v>47</v>
      </c>
      <c r="H22" s="11" t="s">
        <v>48</v>
      </c>
      <c r="I22" s="9" t="n">
        <v>30</v>
      </c>
      <c r="J22" s="9" t="n">
        <v>4815976</v>
      </c>
      <c r="K22" s="9" t="n">
        <v>0.137</v>
      </c>
      <c r="L22" s="9" t="n">
        <v>0.158137919238719</v>
      </c>
      <c r="M22" s="9" t="n">
        <v>0.156036324978038</v>
      </c>
      <c r="N22" s="9" t="n">
        <v>0.116985260035838</v>
      </c>
    </row>
    <row r="23" customFormat="false" ht="14.25" hidden="false" customHeight="false" outlineLevel="0" collapsed="false">
      <c r="A23" s="9" t="s">
        <v>49</v>
      </c>
      <c r="B23" s="16" t="s">
        <v>21</v>
      </c>
      <c r="C23" s="9" t="s">
        <v>22</v>
      </c>
      <c r="D23" s="9" t="s">
        <v>40</v>
      </c>
      <c r="E23" s="9" t="s">
        <v>35</v>
      </c>
      <c r="F23" s="9" t="s">
        <v>41</v>
      </c>
      <c r="G23" s="9" t="s">
        <v>41</v>
      </c>
      <c r="H23" s="11" t="s">
        <v>41</v>
      </c>
      <c r="I23" s="9" t="n">
        <v>32.8</v>
      </c>
      <c r="J23" s="9" t="n">
        <v>5056782</v>
      </c>
      <c r="K23" s="9" t="n">
        <v>0.064</v>
      </c>
      <c r="L23" s="9" t="n">
        <v>0.0566537567666684</v>
      </c>
      <c r="M23" s="9" t="n">
        <v>0.0391275916991191</v>
      </c>
      <c r="N23" s="9" t="n">
        <v>0.0308843899047468</v>
      </c>
    </row>
    <row r="24" customFormat="false" ht="14.25" hidden="false" customHeight="false" outlineLevel="0" collapsed="false">
      <c r="A24" s="9" t="s">
        <v>50</v>
      </c>
      <c r="B24" s="16" t="s">
        <v>21</v>
      </c>
      <c r="C24" s="9" t="s">
        <v>22</v>
      </c>
      <c r="D24" s="9" t="s">
        <v>40</v>
      </c>
      <c r="E24" s="9" t="s">
        <v>24</v>
      </c>
      <c r="F24" s="9" t="s">
        <v>41</v>
      </c>
      <c r="G24" s="9" t="s">
        <v>41</v>
      </c>
      <c r="H24" s="11" t="s">
        <v>41</v>
      </c>
      <c r="I24" s="9" t="n">
        <v>29.3</v>
      </c>
      <c r="J24" s="9" t="n">
        <v>11336443</v>
      </c>
      <c r="K24" s="9" t="n">
        <v>0.047</v>
      </c>
      <c r="L24" s="9" t="n">
        <v>0.0347919433575977</v>
      </c>
      <c r="M24" s="9" t="n">
        <v>0.00427751156418272</v>
      </c>
      <c r="N24" s="9" t="n">
        <v>0.00607991881947865</v>
      </c>
    </row>
    <row r="25" customFormat="false" ht="14.25" hidden="false" customHeight="false" outlineLevel="0" collapsed="false">
      <c r="A25" s="9" t="s">
        <v>51</v>
      </c>
      <c r="B25" s="16" t="s">
        <v>21</v>
      </c>
      <c r="C25" s="9" t="s">
        <v>22</v>
      </c>
      <c r="D25" s="9" t="s">
        <v>40</v>
      </c>
      <c r="E25" s="9" t="s">
        <v>35</v>
      </c>
      <c r="F25" s="9" t="s">
        <v>41</v>
      </c>
      <c r="G25" s="9" t="s">
        <v>41</v>
      </c>
      <c r="H25" s="11" t="s">
        <v>41</v>
      </c>
      <c r="I25" s="9" t="n">
        <v>45.1</v>
      </c>
      <c r="J25" s="9" t="n">
        <v>4765035</v>
      </c>
      <c r="K25" s="9" t="n">
        <v>0.073</v>
      </c>
      <c r="L25" s="9" t="n">
        <v>0.0626897991901226</v>
      </c>
      <c r="M25" s="9" t="n">
        <v>0.0156868600181858</v>
      </c>
      <c r="N25" s="9" t="n">
        <v>0.0179537666680644</v>
      </c>
    </row>
    <row r="26" customFormat="false" ht="14.25" hidden="false" customHeight="false" outlineLevel="0" collapsed="false">
      <c r="A26" s="9" t="s">
        <v>52</v>
      </c>
      <c r="B26" s="16" t="s">
        <v>21</v>
      </c>
      <c r="C26" s="9" t="s">
        <v>22</v>
      </c>
      <c r="D26" s="9" t="s">
        <v>29</v>
      </c>
      <c r="E26" s="9" t="s">
        <v>35</v>
      </c>
      <c r="F26" s="18" t="s">
        <v>53</v>
      </c>
      <c r="G26" s="9" t="s">
        <v>53</v>
      </c>
      <c r="H26" s="11" t="s">
        <v>54</v>
      </c>
      <c r="I26" s="9" t="n">
        <v>54.4</v>
      </c>
      <c r="J26" s="9" t="n">
        <v>3052899</v>
      </c>
      <c r="K26" s="9" t="n">
        <v>0.101</v>
      </c>
      <c r="L26" s="9" t="n">
        <v>0.0850013108926242</v>
      </c>
      <c r="M26" s="9" t="n">
        <v>0.01830504433186</v>
      </c>
      <c r="N26" s="9" t="n">
        <v>0.0219934201205644</v>
      </c>
    </row>
    <row r="27" customFormat="false" ht="14.25" hidden="false" customHeight="false" outlineLevel="0" collapsed="false">
      <c r="A27" s="9" t="s">
        <v>55</v>
      </c>
      <c r="B27" s="16" t="s">
        <v>21</v>
      </c>
      <c r="C27" s="9" t="s">
        <v>22</v>
      </c>
      <c r="D27" s="9" t="s">
        <v>40</v>
      </c>
      <c r="E27" s="9" t="s">
        <v>35</v>
      </c>
      <c r="F27" s="9" t="s">
        <v>41</v>
      </c>
      <c r="G27" s="9" t="s">
        <v>41</v>
      </c>
      <c r="H27" s="11" t="s">
        <v>41</v>
      </c>
      <c r="I27" s="9" t="n">
        <v>40.3</v>
      </c>
      <c r="J27" s="9" t="n">
        <v>4958300</v>
      </c>
      <c r="K27" s="9" t="n">
        <v>0.071</v>
      </c>
      <c r="L27" s="9" t="n">
        <v>0.0597255213329145</v>
      </c>
      <c r="M27" s="9" t="n">
        <v>0.0124519925666143</v>
      </c>
      <c r="N27" s="9" t="n">
        <v>0.0153236428721933</v>
      </c>
    </row>
    <row r="28" customFormat="false" ht="14.25" hidden="false" customHeight="false" outlineLevel="0" collapsed="false">
      <c r="A28" s="9" t="s">
        <v>56</v>
      </c>
      <c r="B28" s="16" t="s">
        <v>21</v>
      </c>
      <c r="C28" s="9" t="s">
        <v>22</v>
      </c>
      <c r="D28" s="9" t="s">
        <v>23</v>
      </c>
      <c r="E28" s="9" t="s">
        <v>24</v>
      </c>
      <c r="F28" s="9" t="s">
        <v>57</v>
      </c>
      <c r="G28" s="17" t="s">
        <v>41</v>
      </c>
      <c r="H28" s="11" t="s">
        <v>58</v>
      </c>
      <c r="I28" s="9" t="n">
        <v>23.3</v>
      </c>
      <c r="J28" s="9" t="n">
        <v>4068440</v>
      </c>
      <c r="K28" s="9" t="n">
        <v>0.071</v>
      </c>
      <c r="L28" s="9" t="n">
        <v>0.0609987684531444</v>
      </c>
      <c r="M28" s="9" t="n">
        <v>0.0255420018524077</v>
      </c>
      <c r="N28" s="9" t="n">
        <v>0.0249901002444205</v>
      </c>
    </row>
    <row r="29" customFormat="false" ht="14.25" hidden="false" customHeight="false" outlineLevel="0" collapsed="false">
      <c r="A29" s="9" t="s">
        <v>59</v>
      </c>
      <c r="B29" s="16" t="s">
        <v>21</v>
      </c>
      <c r="C29" s="9" t="s">
        <v>22</v>
      </c>
      <c r="D29" s="9" t="s">
        <v>29</v>
      </c>
      <c r="E29" s="9" t="s">
        <v>35</v>
      </c>
      <c r="F29" s="18" t="s">
        <v>60</v>
      </c>
      <c r="G29" s="9" t="s">
        <v>61</v>
      </c>
      <c r="H29" s="11" t="s">
        <v>62</v>
      </c>
      <c r="I29" s="9" t="n">
        <v>42.3</v>
      </c>
      <c r="J29" s="9" t="n">
        <v>5038333</v>
      </c>
      <c r="K29" s="9" t="n">
        <v>0.08</v>
      </c>
      <c r="L29" s="9" t="n">
        <v>0.06307711522552</v>
      </c>
      <c r="M29" s="9" t="n">
        <v>0.0187590254461844</v>
      </c>
      <c r="N29" s="9" t="n">
        <v>0.0163168767961747</v>
      </c>
    </row>
    <row r="30" customFormat="false" ht="14.25" hidden="false" customHeight="false" outlineLevel="0" collapsed="false">
      <c r="A30" s="9" t="s">
        <v>63</v>
      </c>
      <c r="B30" s="16" t="s">
        <v>21</v>
      </c>
      <c r="C30" s="9" t="s">
        <v>22</v>
      </c>
      <c r="D30" s="9" t="s">
        <v>40</v>
      </c>
      <c r="E30" s="9" t="s">
        <v>35</v>
      </c>
      <c r="F30" s="9" t="s">
        <v>41</v>
      </c>
      <c r="G30" s="9" t="s">
        <v>41</v>
      </c>
      <c r="H30" s="11" t="s">
        <v>41</v>
      </c>
      <c r="I30" s="9" t="n">
        <v>20.6</v>
      </c>
      <c r="J30" s="9" t="n">
        <v>4714873</v>
      </c>
      <c r="K30" s="9" t="n">
        <v>0.071</v>
      </c>
      <c r="L30" s="9" t="n">
        <v>0.063643808858648</v>
      </c>
      <c r="M30" s="9" t="n">
        <v>0.0332495194824668</v>
      </c>
      <c r="N30" s="9" t="n">
        <v>0.0332133097561326</v>
      </c>
    </row>
    <row r="31" customFormat="false" ht="14.25" hidden="false" customHeight="false" outlineLevel="0" collapsed="false">
      <c r="A31" s="9" t="s">
        <v>64</v>
      </c>
      <c r="B31" s="16" t="s">
        <v>21</v>
      </c>
      <c r="C31" s="9" t="s">
        <v>22</v>
      </c>
      <c r="D31" s="9" t="s">
        <v>29</v>
      </c>
      <c r="E31" s="9" t="s">
        <v>35</v>
      </c>
      <c r="F31" s="18" t="s">
        <v>65</v>
      </c>
      <c r="G31" s="9" t="s">
        <v>65</v>
      </c>
      <c r="H31" s="11" t="s">
        <v>66</v>
      </c>
      <c r="I31" s="9" t="n">
        <v>30</v>
      </c>
      <c r="J31" s="9" t="n">
        <v>3797526</v>
      </c>
      <c r="K31" s="9" t="n">
        <v>0.073</v>
      </c>
      <c r="L31" s="9" t="n">
        <v>0.0635585135035368</v>
      </c>
      <c r="M31" s="9" t="n">
        <v>0.0602076570473473</v>
      </c>
      <c r="N31" s="9" t="n">
        <v>0.0525904041617709</v>
      </c>
    </row>
    <row r="32" customFormat="false" ht="14.25" hidden="false" customHeight="false" outlineLevel="0" collapsed="false">
      <c r="A32" s="9" t="s">
        <v>67</v>
      </c>
      <c r="B32" s="16" t="s">
        <v>21</v>
      </c>
      <c r="C32" s="9" t="s">
        <v>22</v>
      </c>
      <c r="D32" s="9" t="s">
        <v>23</v>
      </c>
      <c r="E32" s="9" t="s">
        <v>24</v>
      </c>
      <c r="F32" s="9" t="s">
        <v>68</v>
      </c>
      <c r="G32" s="17" t="s">
        <v>41</v>
      </c>
      <c r="H32" s="11" t="s">
        <v>69</v>
      </c>
      <c r="I32" s="9" t="n">
        <v>40.8</v>
      </c>
      <c r="J32" s="9" t="n">
        <v>4696096</v>
      </c>
      <c r="K32" s="9" t="n">
        <v>0.08</v>
      </c>
      <c r="L32" s="9" t="n">
        <v>0.0720248815266236</v>
      </c>
      <c r="M32" s="9" t="n">
        <v>0.073515017984995</v>
      </c>
      <c r="N32" s="9" t="n">
        <v>0.0706038395554422</v>
      </c>
    </row>
    <row r="33" customFormat="false" ht="14.25" hidden="false" customHeight="false" outlineLevel="0" collapsed="false">
      <c r="A33" s="9" t="s">
        <v>70</v>
      </c>
      <c r="B33" s="16" t="s">
        <v>21</v>
      </c>
      <c r="C33" s="9" t="s">
        <v>22</v>
      </c>
      <c r="D33" s="9" t="s">
        <v>29</v>
      </c>
      <c r="E33" s="9" t="s">
        <v>24</v>
      </c>
      <c r="F33" s="18" t="s">
        <v>71</v>
      </c>
      <c r="G33" s="9" t="s">
        <v>71</v>
      </c>
      <c r="H33" s="11" t="s">
        <v>72</v>
      </c>
      <c r="I33" s="9" t="n">
        <v>71.6</v>
      </c>
      <c r="J33" s="9" t="n">
        <v>2116065</v>
      </c>
      <c r="K33" s="9" t="n">
        <v>0.109</v>
      </c>
      <c r="L33" s="9" t="n">
        <v>0.0955313612741771</v>
      </c>
      <c r="M33" s="9" t="n">
        <v>0.0138663034758418</v>
      </c>
      <c r="N33" s="9" t="n">
        <v>0.0207909975500006</v>
      </c>
    </row>
    <row r="34" customFormat="false" ht="14.25" hidden="false" customHeight="false" outlineLevel="0" collapsed="false">
      <c r="A34" s="9" t="s">
        <v>73</v>
      </c>
      <c r="B34" s="16" t="s">
        <v>21</v>
      </c>
      <c r="C34" s="9" t="s">
        <v>22</v>
      </c>
      <c r="D34" s="9" t="s">
        <v>29</v>
      </c>
      <c r="E34" s="9" t="s">
        <v>74</v>
      </c>
      <c r="F34" s="18" t="s">
        <v>75</v>
      </c>
      <c r="G34" s="9" t="s">
        <v>76</v>
      </c>
      <c r="H34" s="11" t="s">
        <v>77</v>
      </c>
      <c r="I34" s="9" t="n">
        <v>30.3</v>
      </c>
      <c r="J34" s="9" t="n">
        <v>1940906</v>
      </c>
      <c r="K34" s="9" t="n">
        <v>0.116</v>
      </c>
      <c r="L34" s="9" t="n">
        <v>0.129416476510855</v>
      </c>
      <c r="M34" s="9" t="n">
        <v>0.166275004753464</v>
      </c>
      <c r="N34" s="9" t="n">
        <v>0.0450218342344944</v>
      </c>
    </row>
    <row r="35" customFormat="false" ht="14.25" hidden="false" customHeight="false" outlineLevel="0" collapsed="false">
      <c r="A35" s="9" t="s">
        <v>78</v>
      </c>
      <c r="B35" s="16" t="s">
        <v>21</v>
      </c>
      <c r="C35" s="9" t="s">
        <v>22</v>
      </c>
      <c r="D35" s="9" t="s">
        <v>40</v>
      </c>
      <c r="E35" s="9" t="s">
        <v>24</v>
      </c>
      <c r="F35" s="9" t="s">
        <v>41</v>
      </c>
      <c r="G35" s="9" t="s">
        <v>41</v>
      </c>
      <c r="H35" s="11" t="s">
        <v>41</v>
      </c>
      <c r="I35" s="9" t="n">
        <v>46.9</v>
      </c>
      <c r="J35" s="9" t="n">
        <v>2640078</v>
      </c>
      <c r="K35" s="9" t="n">
        <v>0.104</v>
      </c>
      <c r="L35" s="9" t="n">
        <v>0.0888496992387628</v>
      </c>
      <c r="M35" s="9" t="n">
        <v>0.0217554355339321</v>
      </c>
      <c r="N35" s="9" t="n">
        <v>0.0176602770374449</v>
      </c>
    </row>
    <row r="36" customFormat="false" ht="14.25" hidden="false" customHeight="false" outlineLevel="0" collapsed="false">
      <c r="A36" s="9" t="s">
        <v>79</v>
      </c>
      <c r="B36" s="16" t="s">
        <v>21</v>
      </c>
      <c r="C36" s="9" t="s">
        <v>80</v>
      </c>
      <c r="D36" s="9" t="s">
        <v>81</v>
      </c>
      <c r="E36" s="9" t="s">
        <v>82</v>
      </c>
      <c r="F36" s="9" t="s">
        <v>82</v>
      </c>
      <c r="G36" s="9" t="s">
        <v>82</v>
      </c>
      <c r="H36" s="11" t="s">
        <v>83</v>
      </c>
      <c r="I36" s="9" t="n">
        <v>8199.8</v>
      </c>
      <c r="J36" s="9" t="n">
        <v>19656</v>
      </c>
      <c r="K36" s="9" t="n">
        <v>0.95</v>
      </c>
      <c r="L36" s="9" t="n">
        <v>0.846778695331105</v>
      </c>
      <c r="M36" s="9" t="n">
        <v>0.107961638990346</v>
      </c>
      <c r="N36" s="9" t="n">
        <v>0.16515816688587</v>
      </c>
    </row>
    <row r="37" customFormat="false" ht="57" hidden="false" customHeight="false" outlineLevel="0" collapsed="false">
      <c r="A37" s="9" t="s">
        <v>84</v>
      </c>
      <c r="B37" s="16" t="s">
        <v>21</v>
      </c>
      <c r="C37" s="9" t="s">
        <v>22</v>
      </c>
      <c r="D37" s="9" t="s">
        <v>29</v>
      </c>
      <c r="E37" s="9" t="s">
        <v>35</v>
      </c>
      <c r="F37" s="18" t="s">
        <v>85</v>
      </c>
      <c r="G37" s="10" t="s">
        <v>86</v>
      </c>
      <c r="H37" s="11" t="s">
        <v>87</v>
      </c>
      <c r="I37" s="9" t="n">
        <v>59</v>
      </c>
      <c r="J37" s="9" t="n">
        <v>2872494</v>
      </c>
      <c r="K37" s="9" t="n">
        <v>0.153</v>
      </c>
      <c r="L37" s="9" t="n">
        <v>0.245697282545219</v>
      </c>
      <c r="M37" s="9" t="n">
        <v>0.132279301534815</v>
      </c>
      <c r="N37" s="9" t="n">
        <v>0.114827854322916</v>
      </c>
    </row>
    <row r="38" customFormat="false" ht="14.25" hidden="false" customHeight="false" outlineLevel="0" collapsed="false">
      <c r="A38" s="9" t="s">
        <v>88</v>
      </c>
      <c r="B38" s="16" t="s">
        <v>21</v>
      </c>
      <c r="C38" s="9" t="s">
        <v>22</v>
      </c>
      <c r="D38" s="9" t="s">
        <v>29</v>
      </c>
      <c r="E38" s="9" t="s">
        <v>24</v>
      </c>
      <c r="F38" s="18" t="s">
        <v>89</v>
      </c>
      <c r="G38" s="9" t="s">
        <v>89</v>
      </c>
      <c r="H38" s="11" t="s">
        <v>90</v>
      </c>
      <c r="I38" s="9" t="n">
        <v>62.7</v>
      </c>
      <c r="J38" s="9" t="n">
        <v>4823645</v>
      </c>
      <c r="K38" s="9" t="n">
        <v>0.115</v>
      </c>
      <c r="L38" s="9" t="n">
        <v>0.100160341469494</v>
      </c>
      <c r="M38" s="9" t="n">
        <v>0.0578349496929136</v>
      </c>
      <c r="N38" s="9" t="n">
        <v>0.0327550721931506</v>
      </c>
    </row>
    <row r="39" customFormat="false" ht="14.25" hidden="false" customHeight="false" outlineLevel="0" collapsed="false">
      <c r="A39" s="9" t="s">
        <v>91</v>
      </c>
      <c r="B39" s="16" t="s">
        <v>21</v>
      </c>
      <c r="C39" s="9" t="s">
        <v>80</v>
      </c>
      <c r="D39" s="9" t="s">
        <v>81</v>
      </c>
      <c r="E39" s="9" t="s">
        <v>82</v>
      </c>
      <c r="F39" s="9" t="s">
        <v>82</v>
      </c>
      <c r="G39" s="9" t="s">
        <v>82</v>
      </c>
      <c r="H39" s="11" t="s">
        <v>92</v>
      </c>
      <c r="I39" s="9" t="n">
        <v>57.4</v>
      </c>
      <c r="J39" s="9" t="n">
        <v>2430917</v>
      </c>
      <c r="K39" s="9" t="n">
        <v>0.16</v>
      </c>
      <c r="L39" s="9" t="n">
        <v>0.335538782971165</v>
      </c>
      <c r="M39" s="9" t="n">
        <v>0.472857303016198</v>
      </c>
      <c r="N39" s="9" t="n">
        <v>0.446033727455961</v>
      </c>
    </row>
    <row r="40" customFormat="false" ht="14.25" hidden="false" customHeight="false" outlineLevel="0" collapsed="false">
      <c r="A40" s="9" t="s">
        <v>93</v>
      </c>
      <c r="B40" s="16" t="s">
        <v>21</v>
      </c>
      <c r="C40" s="9" t="s">
        <v>22</v>
      </c>
      <c r="D40" s="9" t="s">
        <v>23</v>
      </c>
      <c r="E40" s="9" t="s">
        <v>35</v>
      </c>
      <c r="F40" s="9" t="s">
        <v>94</v>
      </c>
      <c r="G40" s="17" t="s">
        <v>41</v>
      </c>
      <c r="H40" s="11" t="s">
        <v>95</v>
      </c>
      <c r="I40" s="9" t="n">
        <v>57.8</v>
      </c>
      <c r="J40" s="9" t="n">
        <v>5059580</v>
      </c>
      <c r="K40" s="9" t="n">
        <v>0.099</v>
      </c>
      <c r="L40" s="9" t="n">
        <v>0.0983649093931882</v>
      </c>
      <c r="M40" s="9" t="n">
        <v>0.106012221818992</v>
      </c>
      <c r="N40" s="9" t="n">
        <v>0.0874505531961875</v>
      </c>
    </row>
    <row r="41" customFormat="false" ht="14.25" hidden="false" customHeight="false" outlineLevel="0" collapsed="false">
      <c r="A41" s="9" t="s">
        <v>96</v>
      </c>
      <c r="B41" s="16" t="s">
        <v>21</v>
      </c>
      <c r="C41" s="9" t="s">
        <v>22</v>
      </c>
      <c r="D41" s="9" t="s">
        <v>40</v>
      </c>
      <c r="E41" s="9" t="s">
        <v>24</v>
      </c>
      <c r="F41" s="9" t="s">
        <v>41</v>
      </c>
      <c r="G41" s="9" t="s">
        <v>41</v>
      </c>
      <c r="H41" s="11" t="s">
        <v>41</v>
      </c>
      <c r="I41" s="9" t="n">
        <v>35.3</v>
      </c>
      <c r="J41" s="9" t="n">
        <v>4878410</v>
      </c>
      <c r="K41" s="9" t="n">
        <v>0.069</v>
      </c>
      <c r="L41" s="9" t="n">
        <v>0.0560816190028495</v>
      </c>
      <c r="M41" s="9" t="n">
        <v>0.0114675848661719</v>
      </c>
      <c r="N41" s="9" t="n">
        <v>0.0157292572028758</v>
      </c>
    </row>
    <row r="42" customFormat="false" ht="14.25" hidden="false" customHeight="false" outlineLevel="0" collapsed="false">
      <c r="A42" s="9" t="s">
        <v>97</v>
      </c>
      <c r="B42" s="16" t="s">
        <v>21</v>
      </c>
      <c r="C42" s="9" t="s">
        <v>22</v>
      </c>
      <c r="D42" s="9" t="s">
        <v>23</v>
      </c>
      <c r="E42" s="9" t="s">
        <v>24</v>
      </c>
      <c r="F42" s="9" t="s">
        <v>98</v>
      </c>
      <c r="G42" s="17" t="s">
        <v>99</v>
      </c>
      <c r="H42" s="11" t="s">
        <v>100</v>
      </c>
      <c r="I42" s="9" t="n">
        <v>35.4</v>
      </c>
      <c r="J42" s="9" t="n">
        <v>4705309</v>
      </c>
      <c r="K42" s="9" t="n">
        <v>0.074</v>
      </c>
      <c r="L42" s="9" t="n">
        <v>0.0650848297433266</v>
      </c>
      <c r="M42" s="9" t="n">
        <v>0.016894184012895</v>
      </c>
      <c r="N42" s="9" t="n">
        <v>0.0141927717663785</v>
      </c>
    </row>
    <row r="43" customFormat="false" ht="14.25" hidden="false" customHeight="false" outlineLevel="0" collapsed="false">
      <c r="A43" s="9" t="s">
        <v>101</v>
      </c>
      <c r="B43" s="16" t="s">
        <v>21</v>
      </c>
      <c r="C43" s="9" t="s">
        <v>80</v>
      </c>
      <c r="D43" s="9" t="s">
        <v>81</v>
      </c>
      <c r="E43" s="9" t="s">
        <v>82</v>
      </c>
      <c r="F43" s="9" t="s">
        <v>82</v>
      </c>
      <c r="G43" s="9" t="s">
        <v>82</v>
      </c>
      <c r="H43" s="11" t="s">
        <v>102</v>
      </c>
      <c r="I43" s="9" t="n">
        <v>44882.4</v>
      </c>
      <c r="J43" s="9" t="n">
        <v>1599</v>
      </c>
      <c r="K43" s="9" t="n">
        <v>2</v>
      </c>
      <c r="L43" s="9" t="n">
        <v>1.55096565264876</v>
      </c>
      <c r="M43" s="9" t="n">
        <v>0.291600445108446</v>
      </c>
      <c r="N43" s="9" t="n">
        <v>0.992981803159806</v>
      </c>
    </row>
    <row r="44" customFormat="false" ht="14.25" hidden="false" customHeight="false" outlineLevel="0" collapsed="false">
      <c r="A44" s="9" t="s">
        <v>103</v>
      </c>
      <c r="B44" s="16" t="s">
        <v>21</v>
      </c>
      <c r="C44" s="9" t="s">
        <v>80</v>
      </c>
      <c r="D44" s="9" t="s">
        <v>81</v>
      </c>
      <c r="E44" s="9" t="s">
        <v>82</v>
      </c>
      <c r="F44" s="9" t="s">
        <v>82</v>
      </c>
      <c r="G44" s="9" t="s">
        <v>82</v>
      </c>
      <c r="H44" s="11" t="s">
        <v>104</v>
      </c>
      <c r="I44" s="9" t="n">
        <v>35</v>
      </c>
      <c r="J44" s="9" t="n">
        <v>1750900</v>
      </c>
      <c r="K44" s="9" t="n">
        <v>0.248</v>
      </c>
      <c r="L44" s="9" t="n">
        <v>0.319132804055691</v>
      </c>
      <c r="M44" s="9" t="n">
        <v>0.22325079765136</v>
      </c>
      <c r="N44" s="9" t="n">
        <v>0.1914593759062</v>
      </c>
    </row>
    <row r="45" customFormat="false" ht="14.25" hidden="false" customHeight="false" outlineLevel="0" collapsed="false">
      <c r="A45" s="9" t="s">
        <v>105</v>
      </c>
      <c r="B45" s="16" t="s">
        <v>21</v>
      </c>
      <c r="C45" s="9" t="s">
        <v>22</v>
      </c>
      <c r="D45" s="9" t="s">
        <v>29</v>
      </c>
      <c r="E45" s="9" t="s">
        <v>24</v>
      </c>
      <c r="F45" s="18" t="s">
        <v>106</v>
      </c>
      <c r="G45" s="9" t="s">
        <v>106</v>
      </c>
      <c r="H45" s="11" t="s">
        <v>107</v>
      </c>
      <c r="I45" s="9" t="n">
        <v>120.7</v>
      </c>
      <c r="J45" s="9" t="n">
        <v>486397</v>
      </c>
      <c r="K45" s="9" t="n">
        <v>0.231</v>
      </c>
      <c r="L45" s="9" t="n">
        <v>0.196734814006555</v>
      </c>
      <c r="M45" s="9" t="n">
        <v>0.0988877198129382</v>
      </c>
      <c r="N45" s="9" t="n">
        <v>0.0841164031881115</v>
      </c>
    </row>
    <row r="46" customFormat="false" ht="14.25" hidden="false" customHeight="false" outlineLevel="0" collapsed="false">
      <c r="A46" s="9" t="s">
        <v>108</v>
      </c>
      <c r="B46" s="16" t="s">
        <v>21</v>
      </c>
      <c r="C46" s="9" t="s">
        <v>22</v>
      </c>
      <c r="D46" s="9" t="s">
        <v>23</v>
      </c>
      <c r="E46" s="9" t="s">
        <v>24</v>
      </c>
      <c r="F46" s="9" t="s">
        <v>109</v>
      </c>
      <c r="G46" s="17" t="s">
        <v>41</v>
      </c>
      <c r="H46" s="11" t="s">
        <v>110</v>
      </c>
      <c r="I46" s="9" t="n">
        <v>23.2</v>
      </c>
      <c r="J46" s="9" t="n">
        <v>5160241</v>
      </c>
      <c r="K46" s="9" t="n">
        <v>0.064</v>
      </c>
      <c r="L46" s="9" t="n">
        <v>0.0554351102095161</v>
      </c>
      <c r="M46" s="9" t="n">
        <v>0.0188476716589182</v>
      </c>
      <c r="N46" s="9" t="n">
        <v>0.0208156819622385</v>
      </c>
    </row>
    <row r="47" customFormat="false" ht="14.25" hidden="false" customHeight="false" outlineLevel="0" collapsed="false">
      <c r="A47" s="9" t="s">
        <v>111</v>
      </c>
      <c r="B47" s="16" t="s">
        <v>21</v>
      </c>
      <c r="C47" s="9" t="s">
        <v>22</v>
      </c>
      <c r="D47" s="9" t="s">
        <v>40</v>
      </c>
      <c r="E47" s="9" t="s">
        <v>24</v>
      </c>
      <c r="F47" s="9" t="s">
        <v>41</v>
      </c>
      <c r="G47" s="9" t="s">
        <v>41</v>
      </c>
      <c r="H47" s="11" t="s">
        <v>41</v>
      </c>
      <c r="I47" s="9" t="n">
        <v>30.9</v>
      </c>
      <c r="J47" s="9" t="n">
        <v>4237647</v>
      </c>
      <c r="K47" s="9" t="n">
        <v>0.085</v>
      </c>
      <c r="L47" s="9" t="n">
        <v>0.0766170877067213</v>
      </c>
      <c r="M47" s="9" t="n">
        <v>0.0286173517852548</v>
      </c>
      <c r="N47" s="9" t="n">
        <v>0.0306133275478601</v>
      </c>
    </row>
    <row r="48" customFormat="false" ht="42.75" hidden="false" customHeight="false" outlineLevel="0" collapsed="false">
      <c r="A48" s="9" t="s">
        <v>112</v>
      </c>
      <c r="B48" s="16" t="s">
        <v>21</v>
      </c>
      <c r="C48" s="9" t="s">
        <v>22</v>
      </c>
      <c r="D48" s="9" t="s">
        <v>29</v>
      </c>
      <c r="E48" s="9" t="s">
        <v>24</v>
      </c>
      <c r="F48" s="18" t="s">
        <v>113</v>
      </c>
      <c r="G48" s="10" t="s">
        <v>114</v>
      </c>
      <c r="H48" s="11" t="s">
        <v>38</v>
      </c>
      <c r="I48" s="9" t="n">
        <v>87.7</v>
      </c>
      <c r="J48" s="9" t="n">
        <v>4434900</v>
      </c>
      <c r="K48" s="9" t="n">
        <v>0.125</v>
      </c>
      <c r="L48" s="9" t="n">
        <v>0.134652085724512</v>
      </c>
      <c r="M48" s="9" t="n">
        <v>0.170370440172736</v>
      </c>
      <c r="N48" s="9" t="n">
        <v>0.161618600335911</v>
      </c>
    </row>
    <row r="49" customFormat="false" ht="14.25" hidden="false" customHeight="false" outlineLevel="0" collapsed="false">
      <c r="A49" s="9" t="s">
        <v>115</v>
      </c>
      <c r="B49" s="16" t="s">
        <v>21</v>
      </c>
      <c r="C49" s="9" t="s">
        <v>22</v>
      </c>
      <c r="D49" s="9" t="s">
        <v>23</v>
      </c>
      <c r="E49" s="9" t="s">
        <v>24</v>
      </c>
      <c r="F49" s="9" t="s">
        <v>116</v>
      </c>
      <c r="G49" s="17" t="s">
        <v>41</v>
      </c>
      <c r="H49" s="11" t="s">
        <v>117</v>
      </c>
      <c r="I49" s="9" t="n">
        <v>27.9</v>
      </c>
      <c r="J49" s="9" t="n">
        <v>4696656</v>
      </c>
      <c r="K49" s="9" t="n">
        <v>0.085</v>
      </c>
      <c r="L49" s="9" t="n">
        <v>0.0743494690029687</v>
      </c>
      <c r="M49" s="9" t="n">
        <v>0.0687567377207087</v>
      </c>
      <c r="N49" s="9" t="n">
        <v>0.0233250373471478</v>
      </c>
    </row>
    <row r="50" customFormat="false" ht="14.25" hidden="false" customHeight="false" outlineLevel="0" collapsed="false">
      <c r="A50" s="9" t="s">
        <v>118</v>
      </c>
      <c r="B50" s="16" t="s">
        <v>21</v>
      </c>
      <c r="C50" s="9" t="s">
        <v>22</v>
      </c>
      <c r="D50" s="9" t="s">
        <v>40</v>
      </c>
      <c r="E50" s="9" t="s">
        <v>35</v>
      </c>
      <c r="F50" s="9" t="s">
        <v>41</v>
      </c>
      <c r="G50" s="9" t="s">
        <v>41</v>
      </c>
      <c r="H50" s="11" t="s">
        <v>41</v>
      </c>
      <c r="I50" s="9" t="n">
        <v>23.2</v>
      </c>
      <c r="J50" s="9" t="n">
        <v>5074962</v>
      </c>
      <c r="K50" s="9" t="n">
        <v>0.073</v>
      </c>
      <c r="L50" s="9" t="n">
        <v>0.0606476959669654</v>
      </c>
      <c r="M50" s="9" t="n">
        <v>0.0251995876943045</v>
      </c>
      <c r="N50" s="9" t="n">
        <v>0.0271053258481196</v>
      </c>
    </row>
    <row r="51" customFormat="false" ht="14.25" hidden="false" customHeight="false" outlineLevel="0" collapsed="false">
      <c r="A51" s="9" t="s">
        <v>119</v>
      </c>
      <c r="B51" s="16" t="s">
        <v>21</v>
      </c>
      <c r="C51" s="9" t="s">
        <v>22</v>
      </c>
      <c r="D51" s="9" t="s">
        <v>40</v>
      </c>
      <c r="E51" s="9" t="s">
        <v>35</v>
      </c>
      <c r="F51" s="9" t="s">
        <v>41</v>
      </c>
      <c r="G51" s="9" t="s">
        <v>41</v>
      </c>
      <c r="H51" s="11" t="s">
        <v>41</v>
      </c>
      <c r="I51" s="9" t="n">
        <v>19.8</v>
      </c>
      <c r="J51" s="9" t="n">
        <v>4302938</v>
      </c>
      <c r="K51" s="9" t="n">
        <v>0.093</v>
      </c>
      <c r="L51" s="9" t="n">
        <v>0.0755087380513939</v>
      </c>
      <c r="M51" s="9" t="n">
        <v>0.0294377025575699</v>
      </c>
      <c r="N51" s="9" t="n">
        <v>0.0225040029100017</v>
      </c>
    </row>
    <row r="52" customFormat="false" ht="14.25" hidden="false" customHeight="false" outlineLevel="0" collapsed="false">
      <c r="A52" s="9" t="s">
        <v>120</v>
      </c>
      <c r="B52" s="16" t="s">
        <v>21</v>
      </c>
      <c r="C52" s="9" t="s">
        <v>22</v>
      </c>
      <c r="D52" s="9" t="s">
        <v>40</v>
      </c>
      <c r="E52" s="9" t="s">
        <v>35</v>
      </c>
      <c r="F52" s="9" t="s">
        <v>41</v>
      </c>
      <c r="G52" s="9" t="s">
        <v>41</v>
      </c>
      <c r="H52" s="11" t="s">
        <v>41</v>
      </c>
      <c r="I52" s="9" t="n">
        <v>26.7</v>
      </c>
      <c r="J52" s="9" t="n">
        <v>3136613</v>
      </c>
      <c r="K52" s="9" t="n">
        <v>0.1</v>
      </c>
      <c r="L52" s="9" t="n">
        <v>0.0813015002670263</v>
      </c>
      <c r="M52" s="9" t="n">
        <v>0.070212935635512</v>
      </c>
      <c r="N52" s="9" t="n">
        <v>0.0315590101940297</v>
      </c>
    </row>
    <row r="53" customFormat="false" ht="14.25" hidden="false" customHeight="false" outlineLevel="0" collapsed="false">
      <c r="A53" s="9" t="s">
        <v>121</v>
      </c>
      <c r="B53" s="16" t="s">
        <v>21</v>
      </c>
      <c r="C53" s="9" t="s">
        <v>22</v>
      </c>
      <c r="D53" s="9" t="s">
        <v>40</v>
      </c>
      <c r="E53" s="9" t="s">
        <v>35</v>
      </c>
      <c r="F53" s="9" t="s">
        <v>41</v>
      </c>
      <c r="G53" s="9" t="s">
        <v>41</v>
      </c>
      <c r="H53" s="11" t="s">
        <v>41</v>
      </c>
      <c r="I53" s="9" t="n">
        <v>31.5</v>
      </c>
      <c r="J53" s="9" t="n">
        <v>4793537</v>
      </c>
      <c r="K53" s="9" t="n">
        <v>0.062</v>
      </c>
      <c r="L53" s="9" t="n">
        <v>0.0502363982303263</v>
      </c>
      <c r="M53" s="9" t="n">
        <v>0.00716701895178052</v>
      </c>
      <c r="N53" s="9" t="n">
        <v>0.00997160454213928</v>
      </c>
    </row>
    <row r="54" customFormat="false" ht="28.5" hidden="false" customHeight="false" outlineLevel="0" collapsed="false">
      <c r="A54" s="9" t="s">
        <v>122</v>
      </c>
      <c r="B54" s="16" t="s">
        <v>21</v>
      </c>
      <c r="C54" s="9" t="s">
        <v>22</v>
      </c>
      <c r="D54" s="9" t="s">
        <v>29</v>
      </c>
      <c r="E54" s="9" t="s">
        <v>35</v>
      </c>
      <c r="F54" s="18" t="s">
        <v>123</v>
      </c>
      <c r="G54" s="9" t="s">
        <v>124</v>
      </c>
      <c r="H54" s="11" t="s">
        <v>125</v>
      </c>
      <c r="I54" s="9" t="n">
        <v>30.3</v>
      </c>
      <c r="J54" s="9" t="n">
        <v>3797873</v>
      </c>
      <c r="K54" s="9" t="n">
        <v>0.083</v>
      </c>
      <c r="L54" s="9" t="n">
        <v>0.0719695140152879</v>
      </c>
      <c r="M54" s="9" t="n">
        <v>0.0544076631526347</v>
      </c>
      <c r="N54" s="9" t="n">
        <v>0.0391612044047605</v>
      </c>
    </row>
    <row r="55" customFormat="false" ht="14.25" hidden="false" customHeight="false" outlineLevel="0" collapsed="false">
      <c r="A55" s="9" t="s">
        <v>126</v>
      </c>
      <c r="B55" s="16" t="s">
        <v>21</v>
      </c>
      <c r="C55" s="9" t="s">
        <v>22</v>
      </c>
      <c r="D55" s="9" t="s">
        <v>29</v>
      </c>
      <c r="E55" s="9" t="s">
        <v>24</v>
      </c>
      <c r="F55" s="18" t="s">
        <v>127</v>
      </c>
      <c r="G55" s="9" t="s">
        <v>61</v>
      </c>
      <c r="H55" s="11" t="s">
        <v>62</v>
      </c>
      <c r="I55" s="9" t="n">
        <v>39.2</v>
      </c>
      <c r="J55" s="9" t="n">
        <v>3422312</v>
      </c>
      <c r="K55" s="9" t="n">
        <v>0.075</v>
      </c>
      <c r="L55" s="9" t="n">
        <v>0.0676144292546371</v>
      </c>
      <c r="M55" s="9" t="n">
        <v>0.0687668763285625</v>
      </c>
      <c r="N55" s="9" t="n">
        <v>0.0568906944945399</v>
      </c>
    </row>
    <row r="56" customFormat="false" ht="14.25" hidden="false" customHeight="false" outlineLevel="0" collapsed="false">
      <c r="A56" s="9" t="s">
        <v>128</v>
      </c>
      <c r="B56" s="16" t="s">
        <v>21</v>
      </c>
      <c r="C56" s="9" t="s">
        <v>22</v>
      </c>
      <c r="D56" s="9" t="s">
        <v>23</v>
      </c>
      <c r="E56" s="9" t="s">
        <v>24</v>
      </c>
      <c r="F56" s="9" t="s">
        <v>129</v>
      </c>
      <c r="G56" s="17" t="s">
        <v>41</v>
      </c>
      <c r="H56" s="11" t="s">
        <v>130</v>
      </c>
      <c r="I56" s="9" t="n">
        <v>44.5</v>
      </c>
      <c r="J56" s="9" t="n">
        <v>4877781</v>
      </c>
      <c r="K56" s="9" t="n">
        <v>0.071</v>
      </c>
      <c r="L56" s="9" t="n">
        <v>0.0637407957523002</v>
      </c>
      <c r="M56" s="9" t="n">
        <v>0.0196532922717154</v>
      </c>
      <c r="N56" s="9" t="n">
        <v>0.018974842710979</v>
      </c>
    </row>
    <row r="57" customFormat="false" ht="14.25" hidden="false" customHeight="false" outlineLevel="0" collapsed="false">
      <c r="A57" s="9" t="s">
        <v>131</v>
      </c>
      <c r="B57" s="16" t="s">
        <v>21</v>
      </c>
      <c r="C57" s="9" t="s">
        <v>22</v>
      </c>
      <c r="D57" s="9" t="s">
        <v>23</v>
      </c>
      <c r="E57" s="9" t="s">
        <v>35</v>
      </c>
      <c r="F57" s="9" t="s">
        <v>132</v>
      </c>
      <c r="G57" s="17" t="s">
        <v>133</v>
      </c>
      <c r="H57" s="11" t="s">
        <v>134</v>
      </c>
      <c r="I57" s="9" t="n">
        <v>31.4</v>
      </c>
      <c r="J57" s="9" t="n">
        <v>4483614</v>
      </c>
      <c r="K57" s="9" t="n">
        <v>0.077</v>
      </c>
      <c r="L57" s="9" t="n">
        <v>0.0692141808630997</v>
      </c>
      <c r="M57" s="9" t="n">
        <v>0.0645706754518755</v>
      </c>
      <c r="N57" s="9" t="n">
        <v>0.0540921459873421</v>
      </c>
    </row>
    <row r="58" customFormat="false" ht="14.25" hidden="false" customHeight="false" outlineLevel="0" collapsed="false">
      <c r="A58" s="9" t="s">
        <v>135</v>
      </c>
      <c r="B58" s="16" t="s">
        <v>21</v>
      </c>
      <c r="C58" s="9" t="s">
        <v>22</v>
      </c>
      <c r="D58" s="9" t="s">
        <v>40</v>
      </c>
      <c r="E58" s="9" t="s">
        <v>35</v>
      </c>
      <c r="F58" s="9" t="s">
        <v>41</v>
      </c>
      <c r="G58" s="9" t="s">
        <v>41</v>
      </c>
      <c r="H58" s="11" t="s">
        <v>41</v>
      </c>
      <c r="I58" s="9" t="n">
        <v>27.8</v>
      </c>
      <c r="J58" s="9" t="n">
        <v>4489127</v>
      </c>
      <c r="K58" s="9" t="n">
        <v>0.09</v>
      </c>
      <c r="L58" s="9" t="n">
        <v>0.0716394191727619</v>
      </c>
      <c r="M58" s="9" t="n">
        <v>0.0310025018687931</v>
      </c>
      <c r="N58" s="9" t="n">
        <v>0.0323829222580284</v>
      </c>
    </row>
    <row r="59" customFormat="false" ht="14.25" hidden="false" customHeight="false" outlineLevel="0" collapsed="false">
      <c r="A59" s="9" t="s">
        <v>136</v>
      </c>
      <c r="B59" s="16" t="s">
        <v>21</v>
      </c>
      <c r="C59" s="9" t="s">
        <v>80</v>
      </c>
      <c r="D59" s="9" t="s">
        <v>81</v>
      </c>
      <c r="E59" s="9" t="s">
        <v>82</v>
      </c>
      <c r="F59" s="9" t="s">
        <v>82</v>
      </c>
      <c r="G59" s="9" t="s">
        <v>82</v>
      </c>
      <c r="H59" s="11" t="s">
        <v>137</v>
      </c>
      <c r="I59" s="9" t="n">
        <v>8885.5</v>
      </c>
      <c r="J59" s="9" t="n">
        <v>6396</v>
      </c>
      <c r="K59" s="9" t="n">
        <v>0.99</v>
      </c>
      <c r="L59" s="9" t="n">
        <v>0.918506516080667</v>
      </c>
      <c r="M59" s="9" t="n">
        <v>0.229111864647411</v>
      </c>
      <c r="N59" s="9" t="n">
        <v>0.280923115134562</v>
      </c>
    </row>
    <row r="60" customFormat="false" ht="14.25" hidden="false" customHeight="false" outlineLevel="0" collapsed="false">
      <c r="A60" s="9" t="s">
        <v>138</v>
      </c>
      <c r="B60" s="16" t="s">
        <v>21</v>
      </c>
      <c r="C60" s="9" t="s">
        <v>80</v>
      </c>
      <c r="D60" s="9" t="s">
        <v>81</v>
      </c>
      <c r="E60" s="9" t="s">
        <v>82</v>
      </c>
      <c r="F60" s="9" t="s">
        <v>82</v>
      </c>
      <c r="G60" s="9" t="s">
        <v>82</v>
      </c>
      <c r="H60" s="11" t="s">
        <v>137</v>
      </c>
      <c r="I60" s="9" t="n">
        <v>466.7</v>
      </c>
      <c r="J60" s="9" t="n">
        <v>78506</v>
      </c>
      <c r="K60" s="9" t="n">
        <v>0.515</v>
      </c>
      <c r="L60" s="9" t="n">
        <v>0.37426046327443</v>
      </c>
      <c r="M60" s="9" t="n">
        <v>0.0763359713137695</v>
      </c>
      <c r="N60" s="9" t="n">
        <v>0.0747395661174696</v>
      </c>
    </row>
    <row r="61" customFormat="false" ht="14.25" hidden="false" customHeight="false" outlineLevel="0" collapsed="false">
      <c r="A61" s="9" t="s">
        <v>139</v>
      </c>
      <c r="B61" s="16" t="s">
        <v>21</v>
      </c>
      <c r="C61" s="9" t="s">
        <v>22</v>
      </c>
      <c r="D61" s="9" t="s">
        <v>40</v>
      </c>
      <c r="E61" s="9" t="s">
        <v>24</v>
      </c>
      <c r="F61" s="9" t="s">
        <v>41</v>
      </c>
      <c r="G61" s="9" t="s">
        <v>41</v>
      </c>
      <c r="H61" s="11" t="s">
        <v>41</v>
      </c>
      <c r="I61" s="9" t="n">
        <v>29.7</v>
      </c>
      <c r="J61" s="9" t="n">
        <v>6711280</v>
      </c>
      <c r="K61" s="9" t="n">
        <v>0.06</v>
      </c>
      <c r="L61" s="9" t="n">
        <v>0.0492802305746315</v>
      </c>
      <c r="M61" s="9" t="n">
        <v>0.00954463073611671</v>
      </c>
      <c r="N61" s="9" t="n">
        <v>0.0136628897874099</v>
      </c>
    </row>
    <row r="62" customFormat="false" ht="14.25" hidden="false" customHeight="false" outlineLevel="0" collapsed="false">
      <c r="A62" s="9" t="s">
        <v>140</v>
      </c>
      <c r="B62" s="16" t="s">
        <v>21</v>
      </c>
      <c r="C62" s="9" t="s">
        <v>22</v>
      </c>
      <c r="D62" s="9" t="s">
        <v>40</v>
      </c>
      <c r="E62" s="9" t="s">
        <v>24</v>
      </c>
      <c r="F62" s="9" t="s">
        <v>41</v>
      </c>
      <c r="G62" s="9" t="s">
        <v>41</v>
      </c>
      <c r="H62" s="11" t="s">
        <v>41</v>
      </c>
      <c r="I62" s="9" t="n">
        <v>39.3</v>
      </c>
      <c r="J62" s="9" t="n">
        <v>5728954</v>
      </c>
      <c r="K62" s="9" t="n">
        <v>0.068</v>
      </c>
      <c r="L62" s="9" t="n">
        <v>0.0561943197818411</v>
      </c>
      <c r="M62" s="9" t="n">
        <v>0.0134549301178207</v>
      </c>
      <c r="N62" s="9" t="n">
        <v>0.0158138613743231</v>
      </c>
    </row>
    <row r="63" customFormat="false" ht="14.25" hidden="false" customHeight="false" outlineLevel="0" collapsed="false">
      <c r="A63" s="9" t="s">
        <v>141</v>
      </c>
      <c r="B63" s="16" t="s">
        <v>21</v>
      </c>
      <c r="C63" s="9" t="s">
        <v>22</v>
      </c>
      <c r="D63" s="9" t="s">
        <v>23</v>
      </c>
      <c r="E63" s="9" t="s">
        <v>35</v>
      </c>
      <c r="F63" s="9" t="s">
        <v>142</v>
      </c>
      <c r="G63" s="17" t="s">
        <v>143</v>
      </c>
      <c r="H63" s="11" t="s">
        <v>144</v>
      </c>
      <c r="I63" s="9" t="n">
        <v>25.4</v>
      </c>
      <c r="J63" s="9" t="n">
        <v>5762471</v>
      </c>
      <c r="K63" s="9" t="n">
        <v>0.072</v>
      </c>
      <c r="L63" s="9" t="n">
        <v>0.0612420189526436</v>
      </c>
      <c r="M63" s="9" t="n">
        <v>0.0270341568900654</v>
      </c>
      <c r="N63" s="9" t="n">
        <v>0.0284804308717267</v>
      </c>
    </row>
    <row r="64" customFormat="false" ht="14.25" hidden="false" customHeight="false" outlineLevel="0" collapsed="false">
      <c r="A64" s="9" t="s">
        <v>145</v>
      </c>
      <c r="B64" s="16" t="s">
        <v>21</v>
      </c>
      <c r="C64" s="9" t="s">
        <v>22</v>
      </c>
      <c r="D64" s="9" t="s">
        <v>29</v>
      </c>
      <c r="E64" s="9" t="s">
        <v>24</v>
      </c>
      <c r="F64" s="18" t="s">
        <v>65</v>
      </c>
      <c r="G64" s="9" t="s">
        <v>65</v>
      </c>
      <c r="H64" s="11" t="s">
        <v>66</v>
      </c>
      <c r="I64" s="9" t="n">
        <v>41.4</v>
      </c>
      <c r="J64" s="9" t="n">
        <v>5197103</v>
      </c>
      <c r="K64" s="9" t="n">
        <v>0.081</v>
      </c>
      <c r="L64" s="9" t="n">
        <v>0.0701439006309304</v>
      </c>
      <c r="M64" s="9" t="n">
        <v>0.0224371467271102</v>
      </c>
      <c r="N64" s="9" t="n">
        <v>0.0270187951414049</v>
      </c>
    </row>
    <row r="65" customFormat="false" ht="14.25" hidden="false" customHeight="false" outlineLevel="0" collapsed="false">
      <c r="A65" s="9" t="s">
        <v>146</v>
      </c>
      <c r="B65" s="16" t="s">
        <v>21</v>
      </c>
      <c r="C65" s="9" t="s">
        <v>22</v>
      </c>
      <c r="D65" s="9" t="s">
        <v>23</v>
      </c>
      <c r="E65" s="9" t="s">
        <v>35</v>
      </c>
      <c r="F65" s="9" t="s">
        <v>147</v>
      </c>
      <c r="G65" s="17" t="s">
        <v>148</v>
      </c>
      <c r="H65" s="11" t="s">
        <v>58</v>
      </c>
      <c r="I65" s="9" t="n">
        <v>34.8</v>
      </c>
      <c r="J65" s="9" t="n">
        <v>5273857</v>
      </c>
      <c r="K65" s="9" t="n">
        <v>0.07</v>
      </c>
      <c r="L65" s="9" t="n">
        <v>0.0634622973225836</v>
      </c>
      <c r="M65" s="9" t="n">
        <v>0.0619236735269044</v>
      </c>
      <c r="N65" s="9" t="n">
        <v>0.0306114189337556</v>
      </c>
    </row>
    <row r="66" customFormat="false" ht="14.25" hidden="false" customHeight="false" outlineLevel="0" collapsed="false">
      <c r="A66" s="9" t="s">
        <v>149</v>
      </c>
      <c r="B66" s="16" t="s">
        <v>21</v>
      </c>
      <c r="C66" s="9" t="s">
        <v>22</v>
      </c>
      <c r="D66" s="9" t="s">
        <v>40</v>
      </c>
      <c r="E66" s="9" t="s">
        <v>35</v>
      </c>
      <c r="F66" s="9" t="s">
        <v>41</v>
      </c>
      <c r="G66" s="9" t="s">
        <v>41</v>
      </c>
      <c r="H66" s="11" t="s">
        <v>41</v>
      </c>
      <c r="I66" s="9" t="n">
        <v>41.9</v>
      </c>
      <c r="J66" s="9" t="n">
        <v>5393046</v>
      </c>
      <c r="K66" s="9" t="n">
        <v>0.083</v>
      </c>
      <c r="L66" s="9" t="n">
        <v>0.0737830887920543</v>
      </c>
      <c r="M66" s="9" t="n">
        <v>0.0324102792635731</v>
      </c>
      <c r="N66" s="9" t="n">
        <v>0.0269688258248828</v>
      </c>
    </row>
    <row r="67" customFormat="false" ht="14.25" hidden="false" customHeight="false" outlineLevel="0" collapsed="false">
      <c r="A67" s="9" t="s">
        <v>150</v>
      </c>
      <c r="B67" s="16" t="s">
        <v>21</v>
      </c>
      <c r="C67" s="9" t="s">
        <v>22</v>
      </c>
      <c r="D67" s="9" t="s">
        <v>40</v>
      </c>
      <c r="E67" s="9" t="s">
        <v>24</v>
      </c>
      <c r="F67" s="9" t="s">
        <v>41</v>
      </c>
      <c r="G67" s="9" t="s">
        <v>41</v>
      </c>
      <c r="H67" s="11" t="s">
        <v>41</v>
      </c>
      <c r="I67" s="9" t="n">
        <v>36.1</v>
      </c>
      <c r="J67" s="9" t="n">
        <v>5519961</v>
      </c>
      <c r="K67" s="9" t="n">
        <v>0.063</v>
      </c>
      <c r="L67" s="9" t="n">
        <v>0.051349563217698</v>
      </c>
      <c r="M67" s="9" t="n">
        <v>0.00908263271133607</v>
      </c>
      <c r="N67" s="9" t="n">
        <v>0.0147491364880026</v>
      </c>
    </row>
    <row r="68" customFormat="false" ht="14.25" hidden="false" customHeight="false" outlineLevel="0" collapsed="false">
      <c r="A68" s="9" t="s">
        <v>151</v>
      </c>
      <c r="B68" s="16" t="s">
        <v>21</v>
      </c>
      <c r="C68" s="9" t="s">
        <v>22</v>
      </c>
      <c r="D68" s="9" t="s">
        <v>23</v>
      </c>
      <c r="E68" s="9" t="s">
        <v>24</v>
      </c>
      <c r="F68" s="9" t="s">
        <v>152</v>
      </c>
      <c r="G68" s="17" t="s">
        <v>41</v>
      </c>
      <c r="H68" s="11" t="s">
        <v>153</v>
      </c>
      <c r="I68" s="9" t="n">
        <v>28.8</v>
      </c>
      <c r="J68" s="9" t="n">
        <v>5422341</v>
      </c>
      <c r="K68" s="9" t="n">
        <v>0.064</v>
      </c>
      <c r="L68" s="9" t="n">
        <v>0.0548010037519926</v>
      </c>
      <c r="M68" s="9" t="n">
        <v>0.0112638763911641</v>
      </c>
      <c r="N68" s="9" t="n">
        <v>0.0141011792593071</v>
      </c>
    </row>
    <row r="69" customFormat="false" ht="14.25" hidden="false" customHeight="false" outlineLevel="0" collapsed="false">
      <c r="B69" s="19"/>
    </row>
  </sheetData>
  <autoFilter ref="A14:N6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U2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5" activeCellId="0" sqref="H15"/>
    </sheetView>
  </sheetViews>
  <sheetFormatPr defaultColWidth="8.6875" defaultRowHeight="14.25" zeroHeight="false" outlineLevelRow="0" outlineLevelCol="0"/>
  <cols>
    <col collapsed="false" customWidth="true" hidden="false" outlineLevel="0" max="2" min="2" style="0" width="10.33"/>
    <col collapsed="false" customWidth="true" hidden="false" outlineLevel="0" max="3" min="3" style="0" width="11.45"/>
    <col collapsed="false" customWidth="true" hidden="false" outlineLevel="0" max="4" min="4" style="0" width="12.56"/>
    <col collapsed="false" customWidth="true" hidden="false" outlineLevel="0" max="7" min="7" style="0" width="15.88"/>
    <col collapsed="false" customWidth="true" hidden="false" outlineLevel="0" max="8" min="8" style="1" width="35.66"/>
    <col collapsed="false" customWidth="true" hidden="false" outlineLevel="0" max="9" min="9" style="0" width="23.11"/>
    <col collapsed="false" customWidth="true" hidden="false" outlineLevel="0" max="10" min="10" style="0" width="33.67"/>
    <col collapsed="false" customWidth="true" hidden="false" outlineLevel="0" max="11" min="11" style="0" width="20.45"/>
    <col collapsed="false" customWidth="true" hidden="false" outlineLevel="0" max="17" min="17" style="0" width="17.89"/>
  </cols>
  <sheetData>
    <row r="1" customFormat="false" ht="15" hidden="false" customHeight="false" outlineLevel="0" collapsed="false">
      <c r="A1" s="20" t="s">
        <v>154</v>
      </c>
      <c r="B1" s="21" t="s">
        <v>155</v>
      </c>
      <c r="C1" s="22" t="s">
        <v>156</v>
      </c>
      <c r="D1" s="21" t="s">
        <v>157</v>
      </c>
      <c r="E1" s="21" t="s">
        <v>158</v>
      </c>
      <c r="F1" s="21" t="s">
        <v>159</v>
      </c>
      <c r="G1" s="23" t="s">
        <v>160</v>
      </c>
      <c r="H1" s="24" t="s">
        <v>161</v>
      </c>
      <c r="I1" s="21" t="s">
        <v>162</v>
      </c>
      <c r="J1" s="25" t="s">
        <v>163</v>
      </c>
      <c r="K1" s="21" t="s">
        <v>164</v>
      </c>
      <c r="L1" s="25" t="s">
        <v>165</v>
      </c>
      <c r="M1" s="21" t="s">
        <v>166</v>
      </c>
      <c r="N1" s="21" t="s">
        <v>167</v>
      </c>
      <c r="O1" s="21" t="s">
        <v>168</v>
      </c>
      <c r="P1" s="21" t="s">
        <v>169</v>
      </c>
      <c r="Q1" s="21" t="s">
        <v>170</v>
      </c>
      <c r="R1" s="26" t="s">
        <v>171</v>
      </c>
      <c r="S1" s="21" t="s">
        <v>172</v>
      </c>
      <c r="T1" s="21" t="s">
        <v>173</v>
      </c>
      <c r="U1" s="21" t="s">
        <v>174</v>
      </c>
      <c r="V1" s="25" t="s">
        <v>175</v>
      </c>
      <c r="W1" s="25" t="s">
        <v>176</v>
      </c>
      <c r="X1" s="25" t="s">
        <v>177</v>
      </c>
      <c r="Y1" s="27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</row>
    <row r="2" s="37" customFormat="true" ht="15" hidden="false" customHeight="false" outlineLevel="0" collapsed="false">
      <c r="A2" s="29"/>
      <c r="B2" s="30" t="n">
        <v>46021</v>
      </c>
      <c r="C2" s="31" t="n">
        <v>46024</v>
      </c>
      <c r="D2" s="31" t="n">
        <v>46024</v>
      </c>
      <c r="E2" s="29" t="s">
        <v>178</v>
      </c>
      <c r="F2" s="29" t="s">
        <v>179</v>
      </c>
      <c r="G2" s="32" t="s">
        <v>180</v>
      </c>
      <c r="H2" s="33"/>
      <c r="I2" s="29" t="s">
        <v>181</v>
      </c>
      <c r="J2" s="34" t="n">
        <v>2</v>
      </c>
      <c r="K2" s="29" t="s">
        <v>182</v>
      </c>
      <c r="L2" s="29" t="s">
        <v>183</v>
      </c>
      <c r="M2" s="29" t="s">
        <v>21</v>
      </c>
      <c r="N2" s="29" t="s">
        <v>184</v>
      </c>
      <c r="O2" s="29" t="s">
        <v>185</v>
      </c>
      <c r="P2" s="29" t="s">
        <v>186</v>
      </c>
      <c r="Q2" s="31" t="n">
        <v>46028</v>
      </c>
      <c r="R2" s="29" t="s">
        <v>187</v>
      </c>
      <c r="S2" s="29" t="s">
        <v>188</v>
      </c>
      <c r="T2" s="29"/>
      <c r="U2" s="31" t="n">
        <v>46029</v>
      </c>
      <c r="V2" s="29" t="s">
        <v>189</v>
      </c>
      <c r="W2" s="29"/>
      <c r="X2" s="29"/>
      <c r="Y2" s="35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</row>
    <row r="3" s="37" customFormat="true" ht="15" hidden="false" customHeight="false" outlineLevel="0" collapsed="false">
      <c r="A3" s="29"/>
      <c r="B3" s="30" t="n">
        <v>46024</v>
      </c>
      <c r="C3" s="31" t="n">
        <v>46025</v>
      </c>
      <c r="D3" s="31" t="n">
        <v>46025</v>
      </c>
      <c r="E3" s="29" t="s">
        <v>190</v>
      </c>
      <c r="F3" s="29" t="s">
        <v>191</v>
      </c>
      <c r="G3" s="34" t="n">
        <v>260095297</v>
      </c>
      <c r="H3" s="33"/>
      <c r="I3" s="29" t="s">
        <v>192</v>
      </c>
      <c r="J3" s="34" t="n">
        <v>2</v>
      </c>
      <c r="K3" s="29" t="s">
        <v>193</v>
      </c>
      <c r="L3" s="29" t="s">
        <v>194</v>
      </c>
      <c r="M3" s="29" t="s">
        <v>21</v>
      </c>
      <c r="N3" s="29" t="s">
        <v>195</v>
      </c>
      <c r="O3" s="29" t="s">
        <v>196</v>
      </c>
      <c r="P3" s="29" t="s">
        <v>197</v>
      </c>
      <c r="Q3" s="31" t="n">
        <v>46028</v>
      </c>
      <c r="R3" s="29" t="s">
        <v>187</v>
      </c>
      <c r="S3" s="29" t="s">
        <v>188</v>
      </c>
      <c r="T3" s="29"/>
      <c r="U3" s="31" t="n">
        <v>46029</v>
      </c>
      <c r="V3" s="29" t="s">
        <v>189</v>
      </c>
      <c r="W3" s="29"/>
      <c r="X3" s="29"/>
      <c r="Y3" s="35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</row>
    <row r="4" s="37" customFormat="true" ht="15" hidden="false" customHeight="false" outlineLevel="0" collapsed="false">
      <c r="A4" s="29"/>
      <c r="B4" s="30" t="n">
        <v>46023</v>
      </c>
      <c r="C4" s="31" t="n">
        <v>46025</v>
      </c>
      <c r="D4" s="31" t="n">
        <v>46025</v>
      </c>
      <c r="E4" s="29" t="s">
        <v>190</v>
      </c>
      <c r="F4" s="29" t="s">
        <v>198</v>
      </c>
      <c r="G4" s="34" t="n">
        <v>260095696</v>
      </c>
      <c r="H4" s="33"/>
      <c r="I4" s="29" t="s">
        <v>199</v>
      </c>
      <c r="J4" s="34" t="n">
        <v>2</v>
      </c>
      <c r="K4" s="29" t="s">
        <v>200</v>
      </c>
      <c r="L4" s="29" t="s">
        <v>201</v>
      </c>
      <c r="M4" s="29" t="s">
        <v>21</v>
      </c>
      <c r="N4" s="29" t="s">
        <v>202</v>
      </c>
      <c r="O4" s="29" t="s">
        <v>203</v>
      </c>
      <c r="P4" s="29" t="s">
        <v>204</v>
      </c>
      <c r="Q4" s="31" t="n">
        <v>46028</v>
      </c>
      <c r="R4" s="29" t="s">
        <v>187</v>
      </c>
      <c r="S4" s="29" t="s">
        <v>188</v>
      </c>
      <c r="T4" s="29"/>
      <c r="U4" s="31" t="n">
        <v>46029</v>
      </c>
      <c r="V4" s="29" t="s">
        <v>189</v>
      </c>
      <c r="W4" s="29"/>
      <c r="X4" s="29"/>
      <c r="Y4" s="35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</row>
    <row r="5" s="37" customFormat="true" ht="40.5" hidden="false" customHeight="false" outlineLevel="0" collapsed="false">
      <c r="A5" s="29"/>
      <c r="B5" s="30" t="n">
        <v>46023</v>
      </c>
      <c r="C5" s="31" t="n">
        <v>46025</v>
      </c>
      <c r="D5" s="31" t="n">
        <v>46025</v>
      </c>
      <c r="E5" s="29" t="s">
        <v>190</v>
      </c>
      <c r="F5" s="29" t="s">
        <v>205</v>
      </c>
      <c r="G5" s="34" t="n">
        <v>260095557</v>
      </c>
      <c r="H5" s="38" t="s">
        <v>206</v>
      </c>
      <c r="I5" s="29" t="s">
        <v>207</v>
      </c>
      <c r="J5" s="34" t="n">
        <v>3</v>
      </c>
      <c r="K5" s="29" t="s">
        <v>208</v>
      </c>
      <c r="L5" s="29" t="s">
        <v>209</v>
      </c>
      <c r="M5" s="29" t="s">
        <v>21</v>
      </c>
      <c r="N5" s="29" t="s">
        <v>210</v>
      </c>
      <c r="O5" s="29" t="s">
        <v>203</v>
      </c>
      <c r="P5" s="29" t="s">
        <v>211</v>
      </c>
      <c r="Q5" s="31" t="n">
        <v>46028</v>
      </c>
      <c r="R5" s="29" t="s">
        <v>187</v>
      </c>
      <c r="S5" s="29" t="s">
        <v>188</v>
      </c>
      <c r="T5" s="29"/>
      <c r="U5" s="31" t="n">
        <v>46029</v>
      </c>
      <c r="V5" s="29" t="s">
        <v>189</v>
      </c>
      <c r="W5" s="29"/>
      <c r="X5" s="29"/>
      <c r="Y5" s="35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</row>
    <row r="6" customFormat="false" ht="15" hidden="false" customHeight="false" outlineLevel="0" collapsed="false">
      <c r="A6" s="16"/>
      <c r="B6" s="39" t="n">
        <v>46020</v>
      </c>
      <c r="C6" s="40" t="n">
        <v>46025</v>
      </c>
      <c r="D6" s="40" t="n">
        <v>46025</v>
      </c>
      <c r="E6" s="16" t="s">
        <v>190</v>
      </c>
      <c r="F6" s="16" t="s">
        <v>212</v>
      </c>
      <c r="G6" s="41" t="s">
        <v>213</v>
      </c>
      <c r="H6" s="42"/>
      <c r="I6" s="29" t="s">
        <v>214</v>
      </c>
      <c r="J6" s="43" t="n">
        <v>3</v>
      </c>
      <c r="K6" s="16" t="s">
        <v>215</v>
      </c>
      <c r="L6" s="16" t="s">
        <v>216</v>
      </c>
      <c r="M6" s="16" t="s">
        <v>21</v>
      </c>
      <c r="N6" s="16" t="s">
        <v>217</v>
      </c>
      <c r="O6" s="16" t="s">
        <v>185</v>
      </c>
      <c r="P6" s="16" t="s">
        <v>218</v>
      </c>
      <c r="Q6" s="40" t="n">
        <v>46028</v>
      </c>
      <c r="R6" s="16" t="s">
        <v>187</v>
      </c>
      <c r="S6" s="16" t="s">
        <v>188</v>
      </c>
      <c r="T6" s="16"/>
      <c r="U6" s="40" t="n">
        <v>46029</v>
      </c>
      <c r="V6" s="16" t="s">
        <v>189</v>
      </c>
      <c r="W6" s="16"/>
      <c r="X6" s="16"/>
      <c r="Y6" s="27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</row>
    <row r="7" s="37" customFormat="true" ht="15" hidden="false" customHeight="false" outlineLevel="0" collapsed="false">
      <c r="A7" s="29"/>
      <c r="B7" s="30" t="n">
        <v>46023</v>
      </c>
      <c r="C7" s="31" t="n">
        <v>46025</v>
      </c>
      <c r="D7" s="31" t="n">
        <v>46025</v>
      </c>
      <c r="E7" s="29" t="s">
        <v>190</v>
      </c>
      <c r="F7" s="29" t="s">
        <v>219</v>
      </c>
      <c r="G7" s="34" t="n">
        <v>260095689</v>
      </c>
      <c r="H7" s="33"/>
      <c r="I7" s="29" t="s">
        <v>220</v>
      </c>
      <c r="J7" s="34" t="n">
        <v>2</v>
      </c>
      <c r="K7" s="29" t="s">
        <v>221</v>
      </c>
      <c r="L7" s="29" t="s">
        <v>222</v>
      </c>
      <c r="M7" s="29" t="s">
        <v>21</v>
      </c>
      <c r="N7" s="29" t="s">
        <v>202</v>
      </c>
      <c r="O7" s="29" t="s">
        <v>203</v>
      </c>
      <c r="P7" s="29" t="s">
        <v>204</v>
      </c>
      <c r="Q7" s="31" t="n">
        <v>46028</v>
      </c>
      <c r="R7" s="29" t="s">
        <v>187</v>
      </c>
      <c r="S7" s="29" t="s">
        <v>188</v>
      </c>
      <c r="T7" s="29"/>
      <c r="U7" s="31" t="n">
        <v>46029</v>
      </c>
      <c r="V7" s="29" t="s">
        <v>189</v>
      </c>
      <c r="W7" s="29"/>
      <c r="X7" s="29"/>
      <c r="Y7" s="35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</row>
    <row r="8" s="37" customFormat="true" ht="15" hidden="false" customHeight="false" outlineLevel="0" collapsed="false">
      <c r="A8" s="29"/>
      <c r="B8" s="30" t="n">
        <v>46019</v>
      </c>
      <c r="C8" s="31" t="n">
        <v>46025</v>
      </c>
      <c r="D8" s="31" t="n">
        <v>46025</v>
      </c>
      <c r="E8" s="29" t="s">
        <v>190</v>
      </c>
      <c r="F8" s="29" t="s">
        <v>223</v>
      </c>
      <c r="G8" s="32" t="s">
        <v>224</v>
      </c>
      <c r="H8" s="33"/>
      <c r="I8" s="29" t="s">
        <v>225</v>
      </c>
      <c r="J8" s="34" t="n">
        <v>1</v>
      </c>
      <c r="K8" s="29" t="s">
        <v>226</v>
      </c>
      <c r="L8" s="29" t="s">
        <v>227</v>
      </c>
      <c r="M8" s="29" t="s">
        <v>21</v>
      </c>
      <c r="N8" s="29" t="s">
        <v>228</v>
      </c>
      <c r="O8" s="29" t="s">
        <v>229</v>
      </c>
      <c r="P8" s="29" t="s">
        <v>230</v>
      </c>
      <c r="Q8" s="31" t="n">
        <v>46028</v>
      </c>
      <c r="R8" s="29" t="s">
        <v>187</v>
      </c>
      <c r="S8" s="29" t="s">
        <v>188</v>
      </c>
      <c r="T8" s="29"/>
      <c r="U8" s="31" t="n">
        <v>46029</v>
      </c>
      <c r="V8" s="29" t="s">
        <v>189</v>
      </c>
      <c r="W8" s="29"/>
      <c r="X8" s="29"/>
      <c r="Y8" s="35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</row>
    <row r="9" s="37" customFormat="true" ht="15" hidden="false" customHeight="false" outlineLevel="0" collapsed="false">
      <c r="A9" s="29"/>
      <c r="B9" s="30" t="n">
        <v>46024</v>
      </c>
      <c r="C9" s="31" t="n">
        <v>46025</v>
      </c>
      <c r="D9" s="31" t="n">
        <v>46025</v>
      </c>
      <c r="E9" s="29" t="s">
        <v>190</v>
      </c>
      <c r="F9" s="29" t="s">
        <v>231</v>
      </c>
      <c r="G9" s="34" t="n">
        <v>260095304</v>
      </c>
      <c r="H9" s="33"/>
      <c r="I9" s="29" t="s">
        <v>232</v>
      </c>
      <c r="J9" s="34" t="n">
        <v>1</v>
      </c>
      <c r="K9" s="29" t="s">
        <v>233</v>
      </c>
      <c r="L9" s="29" t="s">
        <v>234</v>
      </c>
      <c r="M9" s="29" t="s">
        <v>21</v>
      </c>
      <c r="N9" s="29" t="s">
        <v>195</v>
      </c>
      <c r="O9" s="29" t="s">
        <v>196</v>
      </c>
      <c r="P9" s="29" t="s">
        <v>197</v>
      </c>
      <c r="Q9" s="31" t="n">
        <v>46028</v>
      </c>
      <c r="R9" s="29" t="s">
        <v>187</v>
      </c>
      <c r="S9" s="29" t="s">
        <v>188</v>
      </c>
      <c r="T9" s="29"/>
      <c r="U9" s="31" t="n">
        <v>46029</v>
      </c>
      <c r="V9" s="29" t="s">
        <v>189</v>
      </c>
      <c r="W9" s="29"/>
      <c r="X9" s="29"/>
      <c r="Y9" s="35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</row>
    <row r="10" s="37" customFormat="true" ht="15" hidden="false" customHeight="false" outlineLevel="0" collapsed="false">
      <c r="A10" s="29"/>
      <c r="B10" s="30" t="n">
        <v>46025</v>
      </c>
      <c r="C10" s="31" t="n">
        <v>46025</v>
      </c>
      <c r="D10" s="31" t="n">
        <v>46025</v>
      </c>
      <c r="E10" s="29" t="s">
        <v>190</v>
      </c>
      <c r="F10" s="29" t="s">
        <v>235</v>
      </c>
      <c r="G10" s="32" t="s">
        <v>236</v>
      </c>
      <c r="H10" s="33"/>
      <c r="I10" s="29" t="s">
        <v>237</v>
      </c>
      <c r="J10" s="34" t="n">
        <v>2</v>
      </c>
      <c r="K10" s="29" t="s">
        <v>238</v>
      </c>
      <c r="L10" s="29" t="s">
        <v>183</v>
      </c>
      <c r="M10" s="29" t="s">
        <v>21</v>
      </c>
      <c r="N10" s="29" t="s">
        <v>239</v>
      </c>
      <c r="O10" s="29" t="s">
        <v>185</v>
      </c>
      <c r="P10" s="29" t="s">
        <v>240</v>
      </c>
      <c r="Q10" s="31" t="n">
        <v>46028</v>
      </c>
      <c r="R10" s="29" t="s">
        <v>187</v>
      </c>
      <c r="S10" s="29" t="s">
        <v>188</v>
      </c>
      <c r="T10" s="29"/>
      <c r="U10" s="31" t="n">
        <v>46029</v>
      </c>
      <c r="V10" s="29" t="s">
        <v>189</v>
      </c>
      <c r="W10" s="29"/>
      <c r="X10" s="29"/>
      <c r="Y10" s="35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</row>
    <row r="11" s="37" customFormat="true" ht="15" hidden="false" customHeight="false" outlineLevel="0" collapsed="false">
      <c r="A11" s="29"/>
      <c r="B11" s="30" t="n">
        <v>46023</v>
      </c>
      <c r="C11" s="31" t="n">
        <v>46025</v>
      </c>
      <c r="D11" s="31" t="n">
        <v>46025</v>
      </c>
      <c r="E11" s="29" t="s">
        <v>190</v>
      </c>
      <c r="F11" s="29" t="s">
        <v>81</v>
      </c>
      <c r="G11" s="32" t="s">
        <v>241</v>
      </c>
      <c r="H11" s="33"/>
      <c r="I11" s="29" t="s">
        <v>242</v>
      </c>
      <c r="J11" s="34" t="n">
        <v>1</v>
      </c>
      <c r="K11" s="29" t="s">
        <v>243</v>
      </c>
      <c r="L11" s="29" t="s">
        <v>244</v>
      </c>
      <c r="M11" s="29" t="s">
        <v>21</v>
      </c>
      <c r="N11" s="29" t="s">
        <v>184</v>
      </c>
      <c r="O11" s="29" t="s">
        <v>185</v>
      </c>
      <c r="P11" s="29" t="s">
        <v>245</v>
      </c>
      <c r="Q11" s="31" t="n">
        <v>46028</v>
      </c>
      <c r="R11" s="29" t="s">
        <v>187</v>
      </c>
      <c r="S11" s="29" t="s">
        <v>188</v>
      </c>
      <c r="T11" s="29"/>
      <c r="U11" s="31" t="n">
        <v>46029</v>
      </c>
      <c r="V11" s="29" t="s">
        <v>189</v>
      </c>
      <c r="W11" s="29"/>
      <c r="X11" s="29"/>
      <c r="Y11" s="35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</row>
    <row r="12" customFormat="false" ht="15" hidden="false" customHeight="false" outlineLevel="0" collapsed="false">
      <c r="A12" s="16"/>
      <c r="B12" s="39" t="n">
        <v>46021</v>
      </c>
      <c r="C12" s="40" t="n">
        <v>46025</v>
      </c>
      <c r="D12" s="40" t="n">
        <v>46025</v>
      </c>
      <c r="E12" s="16" t="s">
        <v>190</v>
      </c>
      <c r="F12" s="16" t="s">
        <v>246</v>
      </c>
      <c r="G12" s="43" t="n">
        <v>250093779</v>
      </c>
      <c r="H12" s="42"/>
      <c r="I12" s="29" t="s">
        <v>247</v>
      </c>
      <c r="J12" s="43" t="n">
        <v>7</v>
      </c>
      <c r="K12" s="16" t="s">
        <v>248</v>
      </c>
      <c r="L12" s="16" t="s">
        <v>249</v>
      </c>
      <c r="M12" s="16" t="s">
        <v>21</v>
      </c>
      <c r="N12" s="16" t="s">
        <v>250</v>
      </c>
      <c r="O12" s="16" t="s">
        <v>251</v>
      </c>
      <c r="P12" s="16" t="s">
        <v>252</v>
      </c>
      <c r="Q12" s="40" t="n">
        <v>46028</v>
      </c>
      <c r="R12" s="16" t="s">
        <v>187</v>
      </c>
      <c r="S12" s="16" t="s">
        <v>188</v>
      </c>
      <c r="T12" s="16"/>
      <c r="U12" s="40" t="n">
        <v>46029</v>
      </c>
      <c r="V12" s="16" t="s">
        <v>189</v>
      </c>
      <c r="W12" s="16"/>
      <c r="X12" s="16"/>
      <c r="Y12" s="27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</row>
    <row r="13" s="37" customFormat="true" ht="15" hidden="false" customHeight="false" outlineLevel="0" collapsed="false">
      <c r="A13" s="29"/>
      <c r="B13" s="30" t="n">
        <v>46023</v>
      </c>
      <c r="C13" s="31" t="n">
        <v>46026</v>
      </c>
      <c r="D13" s="31" t="n">
        <v>46026</v>
      </c>
      <c r="E13" s="29" t="s">
        <v>188</v>
      </c>
      <c r="F13" s="29" t="s">
        <v>253</v>
      </c>
      <c r="G13" s="32" t="s">
        <v>254</v>
      </c>
      <c r="H13" s="33"/>
      <c r="I13" s="29" t="s">
        <v>255</v>
      </c>
      <c r="J13" s="34" t="n">
        <v>3</v>
      </c>
      <c r="K13" s="29" t="s">
        <v>256</v>
      </c>
      <c r="L13" s="29" t="s">
        <v>257</v>
      </c>
      <c r="M13" s="29" t="s">
        <v>21</v>
      </c>
      <c r="N13" s="29" t="s">
        <v>258</v>
      </c>
      <c r="O13" s="29" t="s">
        <v>259</v>
      </c>
      <c r="P13" s="29" t="s">
        <v>260</v>
      </c>
      <c r="Q13" s="31" t="n">
        <v>46028</v>
      </c>
      <c r="R13" s="29" t="s">
        <v>187</v>
      </c>
      <c r="S13" s="29" t="s">
        <v>188</v>
      </c>
      <c r="T13" s="29"/>
      <c r="U13" s="31" t="n">
        <v>46029</v>
      </c>
      <c r="V13" s="29" t="s">
        <v>189</v>
      </c>
      <c r="W13" s="29"/>
      <c r="X13" s="29"/>
      <c r="Y13" s="35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</row>
    <row r="14" customFormat="false" ht="15" hidden="false" customHeight="false" outlineLevel="0" collapsed="false">
      <c r="A14" s="16"/>
      <c r="B14" s="39" t="n">
        <v>46024</v>
      </c>
      <c r="C14" s="40" t="n">
        <v>46026</v>
      </c>
      <c r="D14" s="40" t="n">
        <v>46026</v>
      </c>
      <c r="E14" s="16" t="s">
        <v>188</v>
      </c>
      <c r="F14" s="16" t="s">
        <v>261</v>
      </c>
      <c r="G14" s="43" t="n">
        <v>260096142</v>
      </c>
      <c r="H14" s="42"/>
      <c r="I14" s="44" t="s">
        <v>262</v>
      </c>
      <c r="J14" s="43" t="n">
        <v>2</v>
      </c>
      <c r="K14" s="16" t="s">
        <v>263</v>
      </c>
      <c r="L14" s="16" t="s">
        <v>264</v>
      </c>
      <c r="M14" s="16" t="s">
        <v>21</v>
      </c>
      <c r="N14" s="16" t="s">
        <v>265</v>
      </c>
      <c r="O14" s="16" t="s">
        <v>266</v>
      </c>
      <c r="P14" s="16" t="s">
        <v>267</v>
      </c>
      <c r="Q14" s="40" t="n">
        <v>46028</v>
      </c>
      <c r="R14" s="16" t="s">
        <v>187</v>
      </c>
      <c r="S14" s="16" t="s">
        <v>188</v>
      </c>
      <c r="T14" s="16"/>
      <c r="U14" s="40" t="n">
        <v>46029</v>
      </c>
      <c r="V14" s="16" t="s">
        <v>189</v>
      </c>
      <c r="W14" s="16"/>
      <c r="X14" s="16"/>
      <c r="Y14" s="27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</row>
    <row r="15" s="37" customFormat="true" ht="15" hidden="false" customHeight="false" outlineLevel="0" collapsed="false">
      <c r="A15" s="29"/>
      <c r="B15" s="30" t="n">
        <v>46023</v>
      </c>
      <c r="C15" s="31" t="n">
        <v>46026</v>
      </c>
      <c r="D15" s="31" t="n">
        <v>46026</v>
      </c>
      <c r="E15" s="29" t="s">
        <v>188</v>
      </c>
      <c r="F15" s="29" t="s">
        <v>268</v>
      </c>
      <c r="G15" s="34" t="n">
        <v>260096460</v>
      </c>
      <c r="H15" s="33"/>
      <c r="I15" s="29" t="s">
        <v>269</v>
      </c>
      <c r="J15" s="34" t="n">
        <v>6</v>
      </c>
      <c r="K15" s="29" t="s">
        <v>270</v>
      </c>
      <c r="L15" s="29" t="s">
        <v>183</v>
      </c>
      <c r="M15" s="29" t="s">
        <v>21</v>
      </c>
      <c r="N15" s="29" t="s">
        <v>271</v>
      </c>
      <c r="O15" s="29" t="s">
        <v>203</v>
      </c>
      <c r="P15" s="29" t="s">
        <v>188</v>
      </c>
      <c r="Q15" s="31" t="n">
        <v>46028</v>
      </c>
      <c r="R15" s="29" t="s">
        <v>187</v>
      </c>
      <c r="S15" s="29" t="s">
        <v>188</v>
      </c>
      <c r="T15" s="29"/>
      <c r="U15" s="31" t="n">
        <v>46029</v>
      </c>
      <c r="V15" s="29" t="s">
        <v>189</v>
      </c>
      <c r="W15" s="29"/>
      <c r="X15" s="29"/>
      <c r="Y15" s="35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</row>
    <row r="16" customFormat="false" ht="15" hidden="false" customHeight="false" outlineLevel="0" collapsed="false">
      <c r="A16" s="16"/>
      <c r="B16" s="39" t="n">
        <v>46024</v>
      </c>
      <c r="C16" s="40" t="n">
        <v>46026</v>
      </c>
      <c r="D16" s="40" t="n">
        <v>46026</v>
      </c>
      <c r="E16" s="16" t="s">
        <v>188</v>
      </c>
      <c r="F16" s="16" t="s">
        <v>272</v>
      </c>
      <c r="G16" s="43" t="n">
        <v>260096720</v>
      </c>
      <c r="H16" s="42"/>
      <c r="I16" s="44" t="s">
        <v>273</v>
      </c>
      <c r="J16" s="43" t="n">
        <v>2</v>
      </c>
      <c r="K16" s="16" t="s">
        <v>274</v>
      </c>
      <c r="L16" s="16" t="s">
        <v>275</v>
      </c>
      <c r="M16" s="16" t="s">
        <v>21</v>
      </c>
      <c r="N16" s="16" t="s">
        <v>276</v>
      </c>
      <c r="O16" s="16" t="s">
        <v>277</v>
      </c>
      <c r="P16" s="16" t="s">
        <v>278</v>
      </c>
      <c r="Q16" s="40" t="n">
        <v>46028</v>
      </c>
      <c r="R16" s="16" t="s">
        <v>187</v>
      </c>
      <c r="S16" s="16" t="s">
        <v>188</v>
      </c>
      <c r="T16" s="16"/>
      <c r="U16" s="40" t="n">
        <v>46029</v>
      </c>
      <c r="V16" s="16" t="s">
        <v>189</v>
      </c>
      <c r="W16" s="16"/>
      <c r="X16" s="16"/>
      <c r="Y16" s="27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</row>
    <row r="17" s="37" customFormat="true" ht="15" hidden="false" customHeight="false" outlineLevel="0" collapsed="false">
      <c r="A17" s="29"/>
      <c r="B17" s="30" t="n">
        <v>46025</v>
      </c>
      <c r="C17" s="31" t="n">
        <v>46026</v>
      </c>
      <c r="D17" s="31" t="n">
        <v>46026</v>
      </c>
      <c r="E17" s="29" t="s">
        <v>188</v>
      </c>
      <c r="F17" s="29" t="s">
        <v>279</v>
      </c>
      <c r="G17" s="34" t="n">
        <v>260096465</v>
      </c>
      <c r="H17" s="33"/>
      <c r="I17" s="29" t="s">
        <v>280</v>
      </c>
      <c r="J17" s="34" t="n">
        <v>5</v>
      </c>
      <c r="K17" s="29" t="s">
        <v>281</v>
      </c>
      <c r="L17" s="29" t="s">
        <v>244</v>
      </c>
      <c r="M17" s="29" t="s">
        <v>21</v>
      </c>
      <c r="N17" s="29" t="s">
        <v>282</v>
      </c>
      <c r="O17" s="29" t="s">
        <v>283</v>
      </c>
      <c r="P17" s="29" t="s">
        <v>284</v>
      </c>
      <c r="Q17" s="31" t="n">
        <v>46028</v>
      </c>
      <c r="R17" s="29" t="s">
        <v>187</v>
      </c>
      <c r="S17" s="29" t="s">
        <v>188</v>
      </c>
      <c r="T17" s="29"/>
      <c r="U17" s="31" t="n">
        <v>46029</v>
      </c>
      <c r="V17" s="29" t="s">
        <v>189</v>
      </c>
      <c r="W17" s="29"/>
      <c r="X17" s="29"/>
      <c r="Y17" s="35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</row>
    <row r="18" s="37" customFormat="true" ht="27" hidden="false" customHeight="false" outlineLevel="0" collapsed="false">
      <c r="A18" s="29"/>
      <c r="B18" s="30" t="n">
        <v>46022</v>
      </c>
      <c r="C18" s="31" t="n">
        <v>46026</v>
      </c>
      <c r="D18" s="31" t="n">
        <v>46026</v>
      </c>
      <c r="E18" s="29" t="s">
        <v>188</v>
      </c>
      <c r="F18" s="29" t="s">
        <v>285</v>
      </c>
      <c r="G18" s="34" t="n">
        <v>260098107</v>
      </c>
      <c r="H18" s="33" t="s">
        <v>286</v>
      </c>
      <c r="I18" s="29" t="s">
        <v>287</v>
      </c>
      <c r="J18" s="34" t="n">
        <v>3</v>
      </c>
      <c r="K18" s="29" t="s">
        <v>288</v>
      </c>
      <c r="L18" s="29" t="s">
        <v>289</v>
      </c>
      <c r="M18" s="29" t="s">
        <v>21</v>
      </c>
      <c r="N18" s="29" t="s">
        <v>239</v>
      </c>
      <c r="O18" s="29" t="s">
        <v>290</v>
      </c>
      <c r="P18" s="29" t="s">
        <v>291</v>
      </c>
      <c r="Q18" s="31" t="n">
        <v>46028</v>
      </c>
      <c r="R18" s="29" t="s">
        <v>187</v>
      </c>
      <c r="S18" s="29" t="s">
        <v>188</v>
      </c>
      <c r="T18" s="29"/>
      <c r="U18" s="31" t="n">
        <v>46029</v>
      </c>
      <c r="V18" s="29" t="s">
        <v>189</v>
      </c>
      <c r="W18" s="29"/>
      <c r="X18" s="29"/>
      <c r="Y18" s="35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</row>
    <row r="19" s="37" customFormat="true" ht="27" hidden="false" customHeight="false" outlineLevel="0" collapsed="false">
      <c r="A19" s="29"/>
      <c r="B19" s="30" t="n">
        <v>46025</v>
      </c>
      <c r="C19" s="31" t="n">
        <v>46026</v>
      </c>
      <c r="D19" s="31" t="n">
        <v>46026</v>
      </c>
      <c r="E19" s="29" t="s">
        <v>188</v>
      </c>
      <c r="F19" s="29" t="s">
        <v>292</v>
      </c>
      <c r="G19" s="34" t="n">
        <v>260097364</v>
      </c>
      <c r="H19" s="33" t="s">
        <v>293</v>
      </c>
      <c r="I19" s="29" t="s">
        <v>294</v>
      </c>
      <c r="J19" s="34" t="n">
        <v>3</v>
      </c>
      <c r="K19" s="29" t="s">
        <v>295</v>
      </c>
      <c r="L19" s="29" t="s">
        <v>296</v>
      </c>
      <c r="M19" s="29" t="s">
        <v>21</v>
      </c>
      <c r="N19" s="29" t="s">
        <v>202</v>
      </c>
      <c r="O19" s="29" t="s">
        <v>203</v>
      </c>
      <c r="P19" s="29" t="s">
        <v>204</v>
      </c>
      <c r="Q19" s="31" t="n">
        <v>46028</v>
      </c>
      <c r="R19" s="29" t="s">
        <v>187</v>
      </c>
      <c r="S19" s="29" t="s">
        <v>188</v>
      </c>
      <c r="T19" s="29"/>
      <c r="U19" s="31" t="n">
        <v>46029</v>
      </c>
      <c r="V19" s="29" t="s">
        <v>189</v>
      </c>
      <c r="W19" s="29"/>
      <c r="X19" s="29"/>
      <c r="Y19" s="35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</row>
    <row r="20" s="37" customFormat="true" ht="15" hidden="false" customHeight="false" outlineLevel="0" collapsed="false">
      <c r="A20" s="29"/>
      <c r="B20" s="31" t="n">
        <v>46026</v>
      </c>
      <c r="C20" s="31" t="n">
        <v>46027</v>
      </c>
      <c r="D20" s="31" t="n">
        <v>46027</v>
      </c>
      <c r="E20" s="29" t="s">
        <v>178</v>
      </c>
      <c r="F20" s="29" t="s">
        <v>297</v>
      </c>
      <c r="G20" s="32" t="s">
        <v>298</v>
      </c>
      <c r="H20" s="33"/>
      <c r="I20" s="29" t="s">
        <v>299</v>
      </c>
      <c r="J20" s="34" t="n">
        <v>1</v>
      </c>
      <c r="K20" s="29" t="s">
        <v>300</v>
      </c>
      <c r="L20" s="29" t="s">
        <v>183</v>
      </c>
      <c r="M20" s="29" t="s">
        <v>21</v>
      </c>
      <c r="N20" s="29" t="s">
        <v>184</v>
      </c>
      <c r="O20" s="29" t="s">
        <v>185</v>
      </c>
      <c r="P20" s="29" t="s">
        <v>301</v>
      </c>
      <c r="Q20" s="31" t="n">
        <v>46028</v>
      </c>
      <c r="R20" s="29" t="s">
        <v>187</v>
      </c>
      <c r="S20" s="29" t="s">
        <v>188</v>
      </c>
      <c r="T20" s="29"/>
      <c r="U20" s="31" t="n">
        <v>46029</v>
      </c>
      <c r="V20" s="29" t="s">
        <v>189</v>
      </c>
      <c r="W20" s="29"/>
      <c r="X20" s="29"/>
      <c r="Y20" s="35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</row>
    <row r="21" customFormat="false" ht="27" hidden="false" customHeight="false" outlineLevel="0" collapsed="false">
      <c r="A21" s="16"/>
      <c r="B21" s="40" t="n">
        <v>46027</v>
      </c>
      <c r="C21" s="40" t="n">
        <v>46027</v>
      </c>
      <c r="D21" s="40" t="n">
        <v>46027</v>
      </c>
      <c r="E21" s="16" t="s">
        <v>188</v>
      </c>
      <c r="F21" s="16" t="s">
        <v>302</v>
      </c>
      <c r="G21" s="45" t="s">
        <v>303</v>
      </c>
      <c r="H21" s="46" t="s">
        <v>304</v>
      </c>
      <c r="I21" s="29" t="s">
        <v>305</v>
      </c>
      <c r="J21" s="43" t="n">
        <v>4</v>
      </c>
      <c r="K21" s="16" t="s">
        <v>306</v>
      </c>
      <c r="L21" s="16" t="s">
        <v>307</v>
      </c>
      <c r="M21" s="16" t="s">
        <v>21</v>
      </c>
      <c r="N21" s="16" t="s">
        <v>308</v>
      </c>
      <c r="O21" s="16" t="s">
        <v>185</v>
      </c>
      <c r="P21" s="16" t="s">
        <v>309</v>
      </c>
      <c r="Q21" s="40" t="n">
        <v>46028</v>
      </c>
      <c r="R21" s="16" t="s">
        <v>187</v>
      </c>
      <c r="S21" s="16" t="s">
        <v>188</v>
      </c>
      <c r="T21" s="16"/>
      <c r="U21" s="40" t="n">
        <v>46029</v>
      </c>
      <c r="V21" s="16" t="s">
        <v>189</v>
      </c>
      <c r="W21" s="16"/>
      <c r="X21" s="16"/>
      <c r="Y21" s="27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</row>
    <row r="22" s="37" customFormat="true" ht="15" hidden="false" customHeight="false" outlineLevel="0" collapsed="false">
      <c r="A22" s="29"/>
      <c r="B22" s="31" t="n">
        <v>46025</v>
      </c>
      <c r="C22" s="31" t="n">
        <v>46027</v>
      </c>
      <c r="D22" s="31" t="n">
        <v>46027</v>
      </c>
      <c r="E22" s="29" t="s">
        <v>188</v>
      </c>
      <c r="F22" s="29" t="s">
        <v>310</v>
      </c>
      <c r="G22" s="34" t="n">
        <v>260097661</v>
      </c>
      <c r="H22" s="33"/>
      <c r="I22" s="29" t="s">
        <v>311</v>
      </c>
      <c r="J22" s="34" t="n">
        <v>2</v>
      </c>
      <c r="K22" s="29" t="s">
        <v>312</v>
      </c>
      <c r="L22" s="29" t="s">
        <v>313</v>
      </c>
      <c r="M22" s="29" t="s">
        <v>21</v>
      </c>
      <c r="N22" s="29" t="s">
        <v>217</v>
      </c>
      <c r="O22" s="29" t="s">
        <v>314</v>
      </c>
      <c r="P22" s="29" t="s">
        <v>315</v>
      </c>
      <c r="Q22" s="31" t="n">
        <v>46028</v>
      </c>
      <c r="R22" s="29" t="s">
        <v>187</v>
      </c>
      <c r="S22" s="29" t="s">
        <v>188</v>
      </c>
      <c r="T22" s="29"/>
      <c r="U22" s="31" t="n">
        <v>46029</v>
      </c>
      <c r="V22" s="29" t="s">
        <v>189</v>
      </c>
      <c r="W22" s="29"/>
      <c r="X22" s="29"/>
      <c r="Y22" s="35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</row>
    <row r="23" customFormat="false" ht="15" hidden="false" customHeight="false" outlineLevel="0" collapsed="false">
      <c r="A23" s="47"/>
      <c r="B23" s="48"/>
      <c r="C23" s="49"/>
      <c r="D23" s="48"/>
      <c r="E23" s="48"/>
      <c r="F23" s="48"/>
      <c r="G23" s="50"/>
      <c r="H23" s="51"/>
      <c r="I23" s="52"/>
      <c r="J23" s="53"/>
      <c r="K23" s="54"/>
      <c r="L23" s="54"/>
      <c r="M23" s="54"/>
      <c r="N23" s="54"/>
      <c r="O23" s="54"/>
      <c r="P23" s="54"/>
      <c r="Q23" s="55"/>
      <c r="R23" s="52"/>
      <c r="S23" s="56"/>
      <c r="T23" s="57"/>
      <c r="U23" s="57"/>
      <c r="V23" s="57"/>
      <c r="W23" s="58"/>
      <c r="X23" s="59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</row>
  </sheetData>
  <hyperlinks>
    <hyperlink ref="A1" r:id="rId1" display="S.N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8.6875" defaultRowHeight="14.25" zeroHeight="false" outlineLevelRow="0" outlineLevelCol="0"/>
  <cols>
    <col collapsed="false" customWidth="true" hidden="false" outlineLevel="0" max="2" min="2" style="0" width="23.11"/>
  </cols>
  <sheetData>
    <row r="1" customFormat="false" ht="15" hidden="false" customHeight="false" outlineLevel="0" collapsed="false">
      <c r="A1" s="0" t="n">
        <v>1</v>
      </c>
      <c r="B1" s="28" t="s">
        <v>181</v>
      </c>
      <c r="C1" s="0" t="str">
        <f aca="false">"MD "&amp;A1&amp;"_"&amp;LEFT(B1,50)</f>
        <v>MD 1_SATHYA</v>
      </c>
    </row>
    <row r="2" customFormat="false" ht="15" hidden="false" customHeight="false" outlineLevel="0" collapsed="false">
      <c r="A2" s="0" t="n">
        <v>2</v>
      </c>
      <c r="B2" s="28" t="s">
        <v>316</v>
      </c>
      <c r="C2" s="0" t="str">
        <f aca="false">"MD "&amp;A2&amp;"_"&amp;LEFT(B2,50)</f>
        <v>MD 2_SAVITA_BHAGVANRAO</v>
      </c>
    </row>
    <row r="3" customFormat="false" ht="15" hidden="false" customHeight="false" outlineLevel="0" collapsed="false">
      <c r="A3" s="0" t="n">
        <v>3</v>
      </c>
      <c r="B3" s="28" t="s">
        <v>317</v>
      </c>
      <c r="C3" s="0" t="str">
        <f aca="false">"MD "&amp;A3&amp;"_"&amp;LEFT(B3,50)</f>
        <v>MD 3_STHITAPRAGYAN_SAHOO</v>
      </c>
    </row>
    <row r="4" customFormat="false" ht="15" hidden="false" customHeight="false" outlineLevel="0" collapsed="false">
      <c r="A4" s="0" t="n">
        <v>4</v>
      </c>
      <c r="B4" s="28" t="s">
        <v>207</v>
      </c>
      <c r="C4" s="0" t="str">
        <f aca="false">"MD "&amp;A4&amp;"_"&amp;LEFT(B4,50)</f>
        <v>MD 4_YAZHINI</v>
      </c>
    </row>
    <row r="5" customFormat="false" ht="15" hidden="false" customHeight="false" outlineLevel="0" collapsed="false">
      <c r="A5" s="0" t="n">
        <v>5</v>
      </c>
      <c r="B5" s="28" t="s">
        <v>318</v>
      </c>
      <c r="C5" s="0" t="str">
        <f aca="false">"MD "&amp;A5&amp;"_"&amp;LEFT(B5,50)</f>
        <v>MD 5_SHYMOLI_DAS</v>
      </c>
    </row>
    <row r="6" customFormat="false" ht="15" hidden="false" customHeight="false" outlineLevel="0" collapsed="false">
      <c r="A6" s="0" t="n">
        <v>6</v>
      </c>
      <c r="B6" s="60" t="s">
        <v>319</v>
      </c>
      <c r="C6" s="0" t="str">
        <f aca="false">"MD "&amp;A6&amp;"_"&amp;LEFT(B6,50)</f>
        <v>MD 6_PALLAVI_KV</v>
      </c>
    </row>
    <row r="7" customFormat="false" ht="15" hidden="false" customHeight="false" outlineLevel="0" collapsed="false">
      <c r="A7" s="0" t="n">
        <v>7</v>
      </c>
      <c r="B7" s="60" t="s">
        <v>320</v>
      </c>
      <c r="C7" s="0" t="str">
        <f aca="false">"MD "&amp;A7&amp;"_"&amp;LEFT(B7,50)</f>
        <v>MD 7_PADMA_PANCHAREDDY</v>
      </c>
    </row>
    <row r="8" customFormat="false" ht="15" hidden="false" customHeight="false" outlineLevel="0" collapsed="false">
      <c r="A8" s="0" t="n">
        <v>8</v>
      </c>
      <c r="B8" s="60" t="s">
        <v>321</v>
      </c>
      <c r="C8" s="0" t="str">
        <f aca="false">"MD "&amp;A8&amp;"_"&amp;LEFT(B8,50)</f>
        <v>MD 8_SUJATA_SHINDE</v>
      </c>
    </row>
    <row r="9" customFormat="false" ht="15" hidden="false" customHeight="false" outlineLevel="0" collapsed="false">
      <c r="A9" s="0" t="n">
        <v>9</v>
      </c>
      <c r="B9" s="60" t="s">
        <v>237</v>
      </c>
      <c r="C9" s="0" t="str">
        <f aca="false">"MD "&amp;A9&amp;"_"&amp;LEFT(B9,50)</f>
        <v>MD 9_PRIYA</v>
      </c>
    </row>
    <row r="10" customFormat="false" ht="15" hidden="false" customHeight="false" outlineLevel="0" collapsed="false">
      <c r="A10" s="0" t="n">
        <v>10</v>
      </c>
      <c r="B10" s="28" t="s">
        <v>242</v>
      </c>
      <c r="C10" s="0" t="str">
        <f aca="false">"MD "&amp;A10&amp;"_"&amp;LEFT(B10,50)</f>
        <v>MD 10_SIRIGIREDDY</v>
      </c>
    </row>
    <row r="11" customFormat="false" ht="15" hidden="false" customHeight="false" outlineLevel="0" collapsed="false">
      <c r="A11" s="0" t="n">
        <v>11</v>
      </c>
      <c r="B11" s="28" t="s">
        <v>247</v>
      </c>
      <c r="C11" s="0" t="str">
        <f aca="false">"MD "&amp;A11&amp;"_"&amp;LEFT(B11,50)</f>
        <v>MD 11_MAYACHOUDHARY</v>
      </c>
    </row>
    <row r="12" customFormat="false" ht="15" hidden="false" customHeight="false" outlineLevel="0" collapsed="false">
      <c r="A12" s="0" t="n">
        <v>12</v>
      </c>
      <c r="B12" s="28" t="s">
        <v>322</v>
      </c>
      <c r="C12" s="0" t="str">
        <f aca="false">"MD "&amp;A12&amp;"_"&amp;LEFT(B12,50)</f>
        <v>MD 12_ANJALI_DEVI_P_A_S</v>
      </c>
    </row>
    <row r="13" customFormat="false" ht="15" hidden="false" customHeight="false" outlineLevel="0" collapsed="false">
      <c r="A13" s="0" t="n">
        <v>13</v>
      </c>
      <c r="B13" s="28" t="s">
        <v>323</v>
      </c>
      <c r="C13" s="0" t="str">
        <f aca="false">"MD "&amp;A13&amp;"_"&amp;LEFT(B13,50)</f>
        <v>MD 13_POOJA_PANDARE</v>
      </c>
    </row>
    <row r="14" customFormat="false" ht="15" hidden="false" customHeight="false" outlineLevel="0" collapsed="false">
      <c r="A14" s="0" t="n">
        <v>14</v>
      </c>
      <c r="B14" s="28" t="s">
        <v>269</v>
      </c>
      <c r="C14" s="0" t="str">
        <f aca="false">"MD "&amp;A14&amp;"_"&amp;LEFT(B14,50)</f>
        <v>MD 14_SHRIRAKSHA</v>
      </c>
    </row>
    <row r="15" customFormat="false" ht="15" hidden="false" customHeight="false" outlineLevel="0" collapsed="false">
      <c r="A15" s="0" t="n">
        <v>15</v>
      </c>
      <c r="B15" s="28" t="s">
        <v>324</v>
      </c>
      <c r="C15" s="0" t="str">
        <f aca="false">"MD "&amp;A15&amp;"_"&amp;LEFT(B15,50)</f>
        <v>MD 15_KOMAL_KARNAWAT</v>
      </c>
    </row>
    <row r="16" customFormat="false" ht="15" hidden="false" customHeight="false" outlineLevel="0" collapsed="false">
      <c r="A16" s="0" t="n">
        <v>16</v>
      </c>
      <c r="B16" s="28" t="s">
        <v>325</v>
      </c>
      <c r="C16" s="0" t="str">
        <f aca="false">"MD "&amp;A16&amp;"_"&amp;LEFT(B16,50)</f>
        <v>MD 16_KALPANA_SONI</v>
      </c>
    </row>
    <row r="17" customFormat="false" ht="15" hidden="false" customHeight="false" outlineLevel="0" collapsed="false">
      <c r="A17" s="0" t="n">
        <v>17</v>
      </c>
      <c r="B17" s="28" t="s">
        <v>326</v>
      </c>
      <c r="C17" s="0" t="str">
        <f aca="false">"MD "&amp;A17&amp;"_"&amp;LEFT(B17,50)</f>
        <v>MD 17_ISHA_AMBANI</v>
      </c>
    </row>
    <row r="18" customFormat="false" ht="15" hidden="false" customHeight="false" outlineLevel="0" collapsed="false">
      <c r="A18" s="0" t="n">
        <v>18</v>
      </c>
      <c r="B18" s="61" t="s">
        <v>327</v>
      </c>
      <c r="C18" s="0" t="str">
        <f aca="false">"MD "&amp;A18&amp;"_"&amp;LEFT(B18,50)</f>
        <v>MD 18_TEJASHREE_L_S</v>
      </c>
    </row>
    <row r="19" customFormat="false" ht="15" hidden="false" customHeight="false" outlineLevel="0" collapsed="false">
      <c r="A19" s="0" t="n">
        <v>19</v>
      </c>
      <c r="B19" s="28" t="s">
        <v>299</v>
      </c>
      <c r="C19" s="0" t="str">
        <f aca="false">"MD "&amp;A19&amp;"_"&amp;LEFT(B19,50)</f>
        <v>MD 19_SANGEETHA</v>
      </c>
    </row>
    <row r="20" customFormat="false" ht="15" hidden="false" customHeight="false" outlineLevel="0" collapsed="false">
      <c r="A20" s="0" t="n">
        <v>20</v>
      </c>
      <c r="B20" s="61" t="s">
        <v>328</v>
      </c>
      <c r="C20" s="0" t="str">
        <f aca="false">"MD "&amp;A20&amp;"_"&amp;LEFT(B20,50)</f>
        <v>MD 20_RASHMI_G</v>
      </c>
    </row>
    <row r="21" customFormat="false" ht="15" hidden="false" customHeight="false" outlineLevel="0" collapsed="false">
      <c r="A21" s="0" t="n">
        <v>21</v>
      </c>
      <c r="B21" s="61" t="s">
        <v>305</v>
      </c>
      <c r="C21" s="0" t="str">
        <f aca="false">"MD "&amp;A21&amp;"_"&amp;LEFT(B21,50)</f>
        <v>MD 21_KOKILA</v>
      </c>
    </row>
    <row r="22" customFormat="false" ht="15" hidden="false" customHeight="false" outlineLevel="0" collapsed="false">
      <c r="A22" s="0" t="n">
        <v>22</v>
      </c>
      <c r="B22" s="28" t="s">
        <v>329</v>
      </c>
      <c r="C22" s="0" t="str">
        <f aca="false">"MD "&amp;A22&amp;"_"&amp;LEFT(B22,50)</f>
        <v>MD 22_ASHNA_GANDHI</v>
      </c>
    </row>
    <row r="23" customFormat="false" ht="15" hidden="false" customHeight="false" outlineLevel="0" collapsed="false">
      <c r="B23" s="6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71" activeCellId="0" sqref="F71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27.66"/>
  </cols>
  <sheetData>
    <row r="1" customFormat="false" ht="14.25" hidden="false" customHeight="false" outlineLevel="0" collapsed="false">
      <c r="A1" s="16" t="s">
        <v>181</v>
      </c>
      <c r="B1" s="0" t="s">
        <v>330</v>
      </c>
    </row>
    <row r="2" customFormat="false" ht="14.25" hidden="false" customHeight="false" outlineLevel="0" collapsed="false">
      <c r="A2" s="16"/>
    </row>
    <row r="3" customFormat="false" ht="14.25" hidden="false" customHeight="false" outlineLevel="0" collapsed="false">
      <c r="A3" s="16"/>
    </row>
    <row r="4" customFormat="false" ht="14.25" hidden="false" customHeight="false" outlineLevel="0" collapsed="false">
      <c r="A4" s="16"/>
    </row>
    <row r="5" customFormat="false" ht="14.25" hidden="false" customHeight="false" outlineLevel="0" collapsed="false">
      <c r="A5" s="16" t="s">
        <v>192</v>
      </c>
      <c r="B5" s="0" t="s">
        <v>331</v>
      </c>
    </row>
    <row r="6" customFormat="false" ht="14.25" hidden="false" customHeight="false" outlineLevel="0" collapsed="false">
      <c r="A6" s="16"/>
    </row>
    <row r="7" customFormat="false" ht="14.25" hidden="false" customHeight="false" outlineLevel="0" collapsed="false">
      <c r="A7" s="16"/>
    </row>
    <row r="8" customFormat="false" ht="14.25" hidden="false" customHeight="false" outlineLevel="0" collapsed="false">
      <c r="A8" s="16" t="s">
        <v>199</v>
      </c>
      <c r="B8" s="0" t="s">
        <v>330</v>
      </c>
    </row>
    <row r="9" customFormat="false" ht="14.25" hidden="false" customHeight="false" outlineLevel="0" collapsed="false">
      <c r="A9" s="16"/>
      <c r="B9" s="0" t="s">
        <v>332</v>
      </c>
    </row>
    <row r="10" customFormat="false" ht="14.25" hidden="false" customHeight="false" outlineLevel="0" collapsed="false">
      <c r="A10" s="16"/>
    </row>
    <row r="11" customFormat="false" ht="14.25" hidden="false" customHeight="false" outlineLevel="0" collapsed="false">
      <c r="A11" s="16" t="s">
        <v>207</v>
      </c>
      <c r="B11" s="0" t="s">
        <v>330</v>
      </c>
    </row>
    <row r="12" customFormat="false" ht="14.25" hidden="false" customHeight="false" outlineLevel="0" collapsed="false">
      <c r="A12" s="16"/>
      <c r="B12" s="0" t="s">
        <v>332</v>
      </c>
    </row>
    <row r="13" customFormat="false" ht="14.25" hidden="false" customHeight="false" outlineLevel="0" collapsed="false">
      <c r="A13" s="16"/>
    </row>
    <row r="14" customFormat="false" ht="14.25" hidden="false" customHeight="false" outlineLevel="0" collapsed="false">
      <c r="A14" s="16" t="s">
        <v>214</v>
      </c>
    </row>
    <row r="15" customFormat="false" ht="14.25" hidden="false" customHeight="false" outlineLevel="0" collapsed="false">
      <c r="A15" s="16"/>
    </row>
    <row r="16" customFormat="false" ht="14.25" hidden="false" customHeight="false" outlineLevel="0" collapsed="false">
      <c r="A16" s="16"/>
    </row>
    <row r="17" customFormat="false" ht="14.25" hidden="false" customHeight="false" outlineLevel="0" collapsed="false">
      <c r="A17" s="16"/>
    </row>
    <row r="18" customFormat="false" ht="14.25" hidden="false" customHeight="false" outlineLevel="0" collapsed="false">
      <c r="A18" s="16" t="s">
        <v>220</v>
      </c>
      <c r="B18" s="0" t="s">
        <v>330</v>
      </c>
    </row>
    <row r="19" customFormat="false" ht="14.25" hidden="false" customHeight="false" outlineLevel="0" collapsed="false">
      <c r="A19" s="16"/>
      <c r="B19" s="0" t="s">
        <v>333</v>
      </c>
    </row>
    <row r="20" customFormat="false" ht="14.25" hidden="false" customHeight="false" outlineLevel="0" collapsed="false">
      <c r="A20" s="16"/>
    </row>
    <row r="21" customFormat="false" ht="14.25" hidden="false" customHeight="false" outlineLevel="0" collapsed="false">
      <c r="A21" s="16"/>
    </row>
    <row r="22" s="37" customFormat="true" ht="14.25" hidden="false" customHeight="false" outlineLevel="0" collapsed="false">
      <c r="A22" s="29" t="s">
        <v>225</v>
      </c>
      <c r="B22" s="37" t="s">
        <v>334</v>
      </c>
    </row>
    <row r="23" customFormat="false" ht="14.25" hidden="false" customHeight="false" outlineLevel="0" collapsed="false">
      <c r="A23" s="16"/>
    </row>
    <row r="24" customFormat="false" ht="14.25" hidden="false" customHeight="false" outlineLevel="0" collapsed="false">
      <c r="A24" s="16"/>
    </row>
    <row r="25" customFormat="false" ht="14.25" hidden="false" customHeight="false" outlineLevel="0" collapsed="false">
      <c r="A25" s="16"/>
    </row>
    <row r="26" customFormat="false" ht="14.25" hidden="false" customHeight="false" outlineLevel="0" collapsed="false">
      <c r="A26" s="16" t="s">
        <v>232</v>
      </c>
      <c r="B26" s="0" t="s">
        <v>335</v>
      </c>
    </row>
    <row r="27" customFormat="false" ht="14.25" hidden="false" customHeight="false" outlineLevel="0" collapsed="false">
      <c r="A27" s="16"/>
      <c r="B27" s="0" t="s">
        <v>336</v>
      </c>
    </row>
    <row r="28" customFormat="false" ht="14.25" hidden="false" customHeight="false" outlineLevel="0" collapsed="false">
      <c r="A28" s="16"/>
      <c r="B28" s="0" t="s">
        <v>337</v>
      </c>
    </row>
    <row r="29" customFormat="false" ht="14.25" hidden="false" customHeight="false" outlineLevel="0" collapsed="false">
      <c r="A29" s="16"/>
    </row>
    <row r="30" customFormat="false" ht="14.25" hidden="false" customHeight="false" outlineLevel="0" collapsed="false">
      <c r="A30" s="16" t="s">
        <v>237</v>
      </c>
      <c r="B30" s="0" t="s">
        <v>338</v>
      </c>
    </row>
    <row r="31" customFormat="false" ht="14.25" hidden="false" customHeight="false" outlineLevel="0" collapsed="false">
      <c r="A31" s="16"/>
      <c r="B31" s="0" t="s">
        <v>339</v>
      </c>
    </row>
    <row r="32" customFormat="false" ht="14.25" hidden="false" customHeight="false" outlineLevel="0" collapsed="false">
      <c r="A32" s="16"/>
    </row>
    <row r="33" customFormat="false" ht="14.25" hidden="false" customHeight="false" outlineLevel="0" collapsed="false">
      <c r="A33" s="16" t="s">
        <v>242</v>
      </c>
      <c r="B33" s="0" t="s">
        <v>340</v>
      </c>
    </row>
    <row r="34" customFormat="false" ht="14.25" hidden="false" customHeight="false" outlineLevel="0" collapsed="false">
      <c r="A34" s="16"/>
    </row>
    <row r="35" customFormat="false" ht="14.25" hidden="false" customHeight="false" outlineLevel="0" collapsed="false">
      <c r="A35" s="16"/>
    </row>
    <row r="36" customFormat="false" ht="14.25" hidden="false" customHeight="false" outlineLevel="0" collapsed="false">
      <c r="A36" s="16" t="s">
        <v>247</v>
      </c>
    </row>
    <row r="37" customFormat="false" ht="14.25" hidden="false" customHeight="false" outlineLevel="0" collapsed="false">
      <c r="A37" s="16"/>
    </row>
    <row r="38" customFormat="false" ht="14.25" hidden="false" customHeight="false" outlineLevel="0" collapsed="false">
      <c r="A38" s="16"/>
    </row>
    <row r="39" customFormat="false" ht="14.25" hidden="false" customHeight="false" outlineLevel="0" collapsed="false">
      <c r="A39" s="16"/>
    </row>
    <row r="40" customFormat="false" ht="14.25" hidden="false" customHeight="false" outlineLevel="0" collapsed="false">
      <c r="A40" s="16" t="s">
        <v>255</v>
      </c>
      <c r="B40" s="0" t="s">
        <v>341</v>
      </c>
    </row>
    <row r="41" customFormat="false" ht="14.25" hidden="false" customHeight="false" outlineLevel="0" collapsed="false">
      <c r="A41" s="16"/>
    </row>
    <row r="42" customFormat="false" ht="14.25" hidden="false" customHeight="false" outlineLevel="0" collapsed="false">
      <c r="A42" s="16"/>
    </row>
    <row r="43" customFormat="false" ht="14.25" hidden="false" customHeight="false" outlineLevel="0" collapsed="false">
      <c r="A43" s="16" t="s">
        <v>262</v>
      </c>
    </row>
    <row r="44" customFormat="false" ht="14.25" hidden="false" customHeight="false" outlineLevel="0" collapsed="false">
      <c r="A44" s="16"/>
    </row>
    <row r="45" customFormat="false" ht="14.25" hidden="false" customHeight="false" outlineLevel="0" collapsed="false">
      <c r="A45" s="16"/>
    </row>
    <row r="46" customFormat="false" ht="14.25" hidden="false" customHeight="false" outlineLevel="0" collapsed="false">
      <c r="A46" s="16" t="s">
        <v>269</v>
      </c>
      <c r="B46" s="0" t="s">
        <v>342</v>
      </c>
    </row>
    <row r="47" customFormat="false" ht="14.25" hidden="false" customHeight="false" outlineLevel="0" collapsed="false">
      <c r="A47" s="16"/>
      <c r="B47" s="0" t="s">
        <v>343</v>
      </c>
    </row>
    <row r="48" customFormat="false" ht="14.25" hidden="false" customHeight="false" outlineLevel="0" collapsed="false">
      <c r="A48" s="16"/>
    </row>
    <row r="49" customFormat="false" ht="14.25" hidden="false" customHeight="false" outlineLevel="0" collapsed="false">
      <c r="A49" s="16"/>
    </row>
    <row r="50" customFormat="false" ht="14.25" hidden="false" customHeight="false" outlineLevel="0" collapsed="false">
      <c r="A50" s="16" t="s">
        <v>273</v>
      </c>
      <c r="B50" s="0" t="s">
        <v>344</v>
      </c>
    </row>
    <row r="51" customFormat="false" ht="14.25" hidden="false" customHeight="false" outlineLevel="0" collapsed="false">
      <c r="A51" s="16"/>
      <c r="B51" s="0" t="s">
        <v>345</v>
      </c>
    </row>
    <row r="52" customFormat="false" ht="14.25" hidden="false" customHeight="false" outlineLevel="0" collapsed="false">
      <c r="A52" s="16"/>
    </row>
    <row r="53" customFormat="false" ht="14.25" hidden="false" customHeight="false" outlineLevel="0" collapsed="false">
      <c r="A53" s="16" t="s">
        <v>280</v>
      </c>
      <c r="B53" s="0" t="s">
        <v>346</v>
      </c>
    </row>
    <row r="54" customFormat="false" ht="14.25" hidden="false" customHeight="false" outlineLevel="0" collapsed="false">
      <c r="A54" s="16"/>
    </row>
    <row r="55" customFormat="false" ht="14.25" hidden="false" customHeight="false" outlineLevel="0" collapsed="false">
      <c r="A55" s="16"/>
    </row>
    <row r="56" customFormat="false" ht="14.25" hidden="false" customHeight="false" outlineLevel="0" collapsed="false">
      <c r="A56" s="16"/>
    </row>
    <row r="57" customFormat="false" ht="14.25" hidden="false" customHeight="false" outlineLevel="0" collapsed="false">
      <c r="A57" s="16" t="s">
        <v>287</v>
      </c>
      <c r="B57" s="0" t="s">
        <v>347</v>
      </c>
    </row>
    <row r="58" customFormat="false" ht="14.25" hidden="false" customHeight="false" outlineLevel="0" collapsed="false">
      <c r="A58" s="16"/>
      <c r="B58" s="0" t="s">
        <v>348</v>
      </c>
    </row>
    <row r="59" customFormat="false" ht="14.25" hidden="false" customHeight="false" outlineLevel="0" collapsed="false">
      <c r="A59" s="16"/>
    </row>
    <row r="60" customFormat="false" ht="14.25" hidden="false" customHeight="false" outlineLevel="0" collapsed="false">
      <c r="A60" s="16"/>
    </row>
    <row r="61" customFormat="false" ht="14.25" hidden="false" customHeight="false" outlineLevel="0" collapsed="false">
      <c r="A61" s="16" t="s">
        <v>294</v>
      </c>
    </row>
    <row r="62" customFormat="false" ht="14.25" hidden="false" customHeight="false" outlineLevel="0" collapsed="false">
      <c r="A62" s="16"/>
    </row>
    <row r="63" customFormat="false" ht="14.25" hidden="false" customHeight="false" outlineLevel="0" collapsed="false">
      <c r="A63" s="16"/>
    </row>
    <row r="64" customFormat="false" ht="14.25" hidden="false" customHeight="false" outlineLevel="0" collapsed="false">
      <c r="A64" s="16"/>
    </row>
    <row r="65" customFormat="false" ht="14.25" hidden="false" customHeight="false" outlineLevel="0" collapsed="false">
      <c r="A65" s="16" t="s">
        <v>299</v>
      </c>
    </row>
    <row r="66" customFormat="false" ht="14.25" hidden="false" customHeight="false" outlineLevel="0" collapsed="false">
      <c r="A66" s="16"/>
    </row>
    <row r="67" customFormat="false" ht="14.25" hidden="false" customHeight="false" outlineLevel="0" collapsed="false">
      <c r="A67" s="16"/>
    </row>
    <row r="68" customFormat="false" ht="14.25" hidden="false" customHeight="false" outlineLevel="0" collapsed="false">
      <c r="A68" s="16"/>
    </row>
    <row r="69" customFormat="false" ht="14.25" hidden="false" customHeight="false" outlineLevel="0" collapsed="false">
      <c r="A69" s="16" t="s">
        <v>305</v>
      </c>
      <c r="B69" s="0" t="s">
        <v>330</v>
      </c>
    </row>
    <row r="70" customFormat="false" ht="14.25" hidden="false" customHeight="false" outlineLevel="0" collapsed="false">
      <c r="A70" s="16"/>
    </row>
    <row r="71" customFormat="false" ht="14.25" hidden="false" customHeight="false" outlineLevel="0" collapsed="false">
      <c r="A71" s="16"/>
    </row>
    <row r="72" customFormat="false" ht="14.25" hidden="false" customHeight="false" outlineLevel="0" collapsed="false">
      <c r="A72" s="16"/>
    </row>
    <row r="73" customFormat="false" ht="14.25" hidden="false" customHeight="false" outlineLevel="0" collapsed="false">
      <c r="A73" s="16" t="s">
        <v>311</v>
      </c>
      <c r="B73" s="0" t="s">
        <v>349</v>
      </c>
    </row>
    <row r="74" customFormat="false" ht="14.25" hidden="false" customHeight="false" outlineLevel="0" collapsed="false">
      <c r="B74" s="0" t="s">
        <v>350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E7:U42"/>
  <sheetViews>
    <sheetView showFormulas="false" showGridLines="true" showRowColHeaders="true" showZeros="true" rightToLeft="false" tabSelected="false" showOutlineSymbols="true" defaultGridColor="true" view="normal" topLeftCell="F1" colorId="64" zoomScale="80" zoomScaleNormal="80" zoomScalePageLayoutView="100" workbookViewId="0">
      <selection pane="topLeft" activeCell="T22" activeCellId="0" sqref="T22"/>
    </sheetView>
  </sheetViews>
  <sheetFormatPr defaultColWidth="8.6875" defaultRowHeight="14.25" zeroHeight="false" outlineLevelRow="0" outlineLevelCol="0"/>
  <cols>
    <col collapsed="false" customWidth="true" hidden="false" outlineLevel="0" max="5" min="5" style="0" width="27.33"/>
    <col collapsed="false" customWidth="true" hidden="false" outlineLevel="0" max="7" min="7" style="0" width="12.56"/>
    <col collapsed="false" customWidth="true" hidden="false" outlineLevel="0" max="8" min="8" style="0" width="10.33"/>
    <col collapsed="false" customWidth="true" hidden="false" outlineLevel="0" max="10" min="10" style="0" width="32.66"/>
    <col collapsed="false" customWidth="true" hidden="false" outlineLevel="0" max="11" min="11" style="0" width="12.44"/>
    <col collapsed="false" customWidth="true" hidden="false" outlineLevel="0" max="12" min="12" style="0" width="18.66"/>
    <col collapsed="false" customWidth="true" hidden="false" outlineLevel="0" max="15" min="15" style="0" width="35.33"/>
    <col collapsed="false" customWidth="true" hidden="false" outlineLevel="0" max="16" min="16" style="0" width="13.01"/>
  </cols>
  <sheetData>
    <row r="7" customFormat="false" ht="14.25" hidden="false" customHeight="false" outlineLevel="0" collapsed="false">
      <c r="J7" s="0" t="s">
        <v>351</v>
      </c>
    </row>
    <row r="11" customFormat="false" ht="14.25" hidden="false" customHeight="false" outlineLevel="0" collapsed="false">
      <c r="E11" s="9" t="s">
        <v>352</v>
      </c>
      <c r="F11" s="9"/>
      <c r="G11" s="9"/>
      <c r="H11" s="9"/>
      <c r="I11" s="9"/>
      <c r="J11" s="9" t="s">
        <v>353</v>
      </c>
      <c r="K11" s="9"/>
      <c r="L11" s="9"/>
      <c r="M11" s="9"/>
      <c r="N11" s="9"/>
      <c r="O11" s="9"/>
      <c r="P11" s="9"/>
      <c r="Q11" s="9"/>
      <c r="R11" s="9"/>
      <c r="S11" s="9"/>
      <c r="T11" s="9"/>
    </row>
    <row r="12" customFormat="false" ht="57" hidden="false" customHeight="false" outlineLevel="0" collapsed="false">
      <c r="E12" s="63" t="s">
        <v>354</v>
      </c>
      <c r="F12" s="63" t="s">
        <v>355</v>
      </c>
      <c r="G12" s="63" t="s">
        <v>164</v>
      </c>
      <c r="H12" s="63" t="s">
        <v>165</v>
      </c>
      <c r="I12" s="63" t="s">
        <v>166</v>
      </c>
      <c r="J12" s="63" t="s">
        <v>356</v>
      </c>
      <c r="K12" s="63" t="s">
        <v>168</v>
      </c>
      <c r="L12" s="63" t="s">
        <v>357</v>
      </c>
      <c r="M12" s="63" t="s">
        <v>358</v>
      </c>
      <c r="N12" s="63" t="s">
        <v>359</v>
      </c>
      <c r="O12" s="63" t="s">
        <v>360</v>
      </c>
      <c r="P12" s="64" t="s">
        <v>15</v>
      </c>
      <c r="Q12" s="64" t="s">
        <v>16</v>
      </c>
      <c r="R12" s="64" t="s">
        <v>17</v>
      </c>
      <c r="S12" s="8" t="s">
        <v>18</v>
      </c>
      <c r="T12" s="8" t="s">
        <v>19</v>
      </c>
    </row>
    <row r="13" customFormat="false" ht="27" hidden="false" customHeight="true" outlineLevel="0" collapsed="false">
      <c r="E13" s="65" t="s">
        <v>247</v>
      </c>
      <c r="F13" s="66" t="n">
        <v>7</v>
      </c>
      <c r="G13" s="66" t="s">
        <v>248</v>
      </c>
      <c r="H13" s="66" t="s">
        <v>249</v>
      </c>
      <c r="I13" s="66" t="s">
        <v>21</v>
      </c>
      <c r="J13" s="66" t="s">
        <v>250</v>
      </c>
      <c r="K13" s="66" t="s">
        <v>251</v>
      </c>
      <c r="L13" s="66" t="s">
        <v>252</v>
      </c>
      <c r="M13" s="9" t="n">
        <v>0.218</v>
      </c>
      <c r="N13" s="9" t="s">
        <v>361</v>
      </c>
      <c r="O13" s="11" t="s">
        <v>83</v>
      </c>
      <c r="P13" s="9" t="n">
        <v>19656</v>
      </c>
      <c r="Q13" s="9" t="n">
        <v>0.95</v>
      </c>
      <c r="R13" s="9" t="n">
        <v>0.846778695331105</v>
      </c>
      <c r="S13" s="9" t="n">
        <v>0.107961638990346</v>
      </c>
      <c r="T13" s="9" t="n">
        <v>0.16515816688587</v>
      </c>
      <c r="U13" s="0" t="s">
        <v>362</v>
      </c>
    </row>
    <row r="14" customFormat="false" ht="14.25" hidden="false" customHeight="false" outlineLevel="0" collapsed="false">
      <c r="E14" s="65"/>
      <c r="F14" s="66"/>
      <c r="G14" s="66"/>
      <c r="H14" s="66"/>
      <c r="I14" s="66"/>
      <c r="J14" s="66"/>
      <c r="K14" s="66"/>
      <c r="L14" s="66"/>
      <c r="M14" s="9" t="n">
        <v>5.54</v>
      </c>
      <c r="N14" s="9" t="s">
        <v>363</v>
      </c>
      <c r="O14" s="11" t="s">
        <v>92</v>
      </c>
      <c r="P14" s="9" t="n">
        <v>2430917</v>
      </c>
      <c r="Q14" s="9" t="n">
        <v>0.16</v>
      </c>
      <c r="R14" s="9" t="n">
        <v>0.335538782971165</v>
      </c>
      <c r="S14" s="9" t="n">
        <v>0.472857303016198</v>
      </c>
      <c r="T14" s="9" t="n">
        <v>0.446033727455961</v>
      </c>
      <c r="U14" s="0" t="s">
        <v>364</v>
      </c>
    </row>
    <row r="15" customFormat="false" ht="27" hidden="false" customHeight="true" outlineLevel="0" collapsed="false">
      <c r="E15" s="65" t="s">
        <v>365</v>
      </c>
      <c r="F15" s="66" t="n">
        <v>2</v>
      </c>
      <c r="G15" s="66" t="s">
        <v>263</v>
      </c>
      <c r="H15" s="66" t="s">
        <v>264</v>
      </c>
      <c r="I15" s="66" t="s">
        <v>21</v>
      </c>
      <c r="J15" s="66" t="s">
        <v>265</v>
      </c>
      <c r="K15" s="66" t="s">
        <v>266</v>
      </c>
      <c r="L15" s="66" t="s">
        <v>267</v>
      </c>
      <c r="M15" s="9" t="n">
        <v>0.1</v>
      </c>
      <c r="N15" s="9" t="s">
        <v>366</v>
      </c>
      <c r="O15" s="11" t="s">
        <v>102</v>
      </c>
      <c r="P15" s="9" t="n">
        <v>1599</v>
      </c>
      <c r="Q15" s="9" t="n">
        <v>2</v>
      </c>
      <c r="R15" s="9" t="n">
        <v>1.55096565264876</v>
      </c>
      <c r="S15" s="9" t="n">
        <v>0.291600445108446</v>
      </c>
      <c r="T15" s="9" t="n">
        <v>0.992981803159806</v>
      </c>
    </row>
    <row r="16" customFormat="false" ht="14.25" hidden="false" customHeight="false" outlineLevel="0" collapsed="false">
      <c r="E16" s="65"/>
      <c r="F16" s="66"/>
      <c r="G16" s="66"/>
      <c r="H16" s="66"/>
      <c r="I16" s="66"/>
      <c r="J16" s="66"/>
      <c r="K16" s="66"/>
      <c r="L16" s="66"/>
      <c r="M16" s="9" t="n">
        <v>1.46</v>
      </c>
      <c r="N16" s="9" t="s">
        <v>367</v>
      </c>
      <c r="O16" s="11" t="s">
        <v>104</v>
      </c>
      <c r="P16" s="9" t="n">
        <v>1750900</v>
      </c>
      <c r="Q16" s="9" t="n">
        <v>0.248</v>
      </c>
      <c r="R16" s="9" t="n">
        <v>0.319132804055691</v>
      </c>
      <c r="S16" s="9" t="n">
        <v>0.22325079765136</v>
      </c>
      <c r="T16" s="9" t="n">
        <v>0.1914593759062</v>
      </c>
    </row>
    <row r="17" customFormat="false" ht="27" hidden="false" customHeight="true" outlineLevel="0" collapsed="false">
      <c r="E17" s="65" t="s">
        <v>368</v>
      </c>
      <c r="F17" s="66" t="n">
        <v>3</v>
      </c>
      <c r="G17" s="66" t="s">
        <v>215</v>
      </c>
      <c r="H17" s="66" t="s">
        <v>216</v>
      </c>
      <c r="I17" s="66" t="s">
        <v>21</v>
      </c>
      <c r="J17" s="66" t="s">
        <v>217</v>
      </c>
      <c r="K17" s="66" t="s">
        <v>185</v>
      </c>
      <c r="L17" s="66" t="s">
        <v>218</v>
      </c>
      <c r="M17" s="9" t="n">
        <v>0.274</v>
      </c>
      <c r="N17" s="9" t="s">
        <v>369</v>
      </c>
      <c r="O17" s="11" t="s">
        <v>137</v>
      </c>
      <c r="P17" s="9" t="n">
        <v>6396</v>
      </c>
      <c r="Q17" s="9" t="n">
        <v>0.99</v>
      </c>
      <c r="R17" s="9" t="n">
        <v>0.918506516080667</v>
      </c>
      <c r="S17" s="9" t="n">
        <v>0.229111864647411</v>
      </c>
      <c r="T17" s="9" t="n">
        <v>0.280923115134562</v>
      </c>
      <c r="U17" s="0" t="s">
        <v>362</v>
      </c>
    </row>
    <row r="18" customFormat="false" ht="14.25" hidden="false" customHeight="false" outlineLevel="0" collapsed="false">
      <c r="E18" s="65"/>
      <c r="F18" s="66"/>
      <c r="G18" s="66"/>
      <c r="H18" s="66"/>
      <c r="I18" s="66"/>
      <c r="J18" s="66"/>
      <c r="K18" s="66"/>
      <c r="L18" s="66"/>
      <c r="M18" s="9" t="n">
        <v>0.76</v>
      </c>
      <c r="N18" s="9" t="s">
        <v>370</v>
      </c>
      <c r="O18" s="11" t="s">
        <v>137</v>
      </c>
      <c r="P18" s="9" t="n">
        <v>78506</v>
      </c>
      <c r="Q18" s="9" t="n">
        <v>0.515</v>
      </c>
      <c r="R18" s="9" t="n">
        <v>0.37426046327443</v>
      </c>
      <c r="S18" s="9" t="n">
        <v>0.0763359713137695</v>
      </c>
      <c r="T18" s="9" t="n">
        <v>0.0747395661174696</v>
      </c>
      <c r="U18" s="0" t="s">
        <v>362</v>
      </c>
    </row>
    <row r="30" customFormat="false" ht="15" hidden="false" customHeight="false" outlineLevel="0" collapsed="false"/>
    <row r="31" customFormat="false" ht="15" hidden="false" customHeight="false" outlineLevel="0" collapsed="false">
      <c r="E31" s="28"/>
      <c r="F31" s="67"/>
      <c r="G31" s="28"/>
      <c r="H31" s="28"/>
      <c r="I31" s="28"/>
      <c r="J31" s="28"/>
      <c r="K31" s="28"/>
      <c r="L31" s="28"/>
      <c r="M31" s="68"/>
    </row>
    <row r="32" customFormat="false" ht="15" hidden="false" customHeight="false" outlineLevel="0" collapsed="false">
      <c r="E32" s="28"/>
      <c r="F32" s="67"/>
      <c r="G32" s="28"/>
      <c r="H32" s="28"/>
      <c r="I32" s="28"/>
      <c r="J32" s="28"/>
      <c r="K32" s="28"/>
      <c r="L32" s="28"/>
    </row>
    <row r="33" customFormat="false" ht="15" hidden="false" customHeight="false" outlineLevel="0" collapsed="false">
      <c r="E33" s="28"/>
      <c r="F33" s="67"/>
      <c r="G33" s="69"/>
      <c r="H33" s="28"/>
      <c r="I33" s="28"/>
      <c r="J33" s="28"/>
      <c r="K33" s="28"/>
      <c r="L33" s="28"/>
    </row>
    <row r="37" customFormat="false" ht="14.25" hidden="false" customHeight="false" outlineLevel="0" collapsed="false">
      <c r="E37" s="70"/>
      <c r="N37" s="71"/>
    </row>
    <row r="38" customFormat="false" ht="14.25" hidden="false" customHeight="false" outlineLevel="0" collapsed="false">
      <c r="E38" s="70"/>
      <c r="N38" s="71"/>
    </row>
    <row r="39" customFormat="false" ht="14.25" hidden="false" customHeight="false" outlineLevel="0" collapsed="false">
      <c r="E39" s="71"/>
      <c r="N39" s="71"/>
    </row>
    <row r="40" customFormat="false" ht="14.25" hidden="false" customHeight="false" outlineLevel="0" collapsed="false">
      <c r="E40" s="71"/>
      <c r="N40" s="71"/>
    </row>
    <row r="41" customFormat="false" ht="14.25" hidden="false" customHeight="false" outlineLevel="0" collapsed="false">
      <c r="E41" s="70"/>
      <c r="N41" s="71"/>
    </row>
    <row r="42" customFormat="false" ht="14.25" hidden="false" customHeight="false" outlineLevel="0" collapsed="false">
      <c r="E42" s="70"/>
      <c r="N42" s="71"/>
    </row>
  </sheetData>
  <mergeCells count="26">
    <mergeCell ref="E13:E14"/>
    <mergeCell ref="F13:F14"/>
    <mergeCell ref="G13:G14"/>
    <mergeCell ref="H13:H14"/>
    <mergeCell ref="I13:I14"/>
    <mergeCell ref="J13:J14"/>
    <mergeCell ref="K13:K14"/>
    <mergeCell ref="L13:L14"/>
    <mergeCell ref="E15:E16"/>
    <mergeCell ref="F15:F16"/>
    <mergeCell ref="G15:G16"/>
    <mergeCell ref="H15:H16"/>
    <mergeCell ref="I15:I16"/>
    <mergeCell ref="J15:J16"/>
    <mergeCell ref="K15:K16"/>
    <mergeCell ref="L15:L16"/>
    <mergeCell ref="E17:E18"/>
    <mergeCell ref="F17:F18"/>
    <mergeCell ref="G17:G18"/>
    <mergeCell ref="H17:H18"/>
    <mergeCell ref="I17:I18"/>
    <mergeCell ref="J17:J18"/>
    <mergeCell ref="K17:K18"/>
    <mergeCell ref="L17:L18"/>
    <mergeCell ref="E37:E38"/>
    <mergeCell ref="E41:E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2025-11-04T07:47:05Z</dcterms:created>
  <dc:creator/>
  <dc:description/>
  <dc:language>en-IN</dc:language>
  <cp:lastModifiedBy/>
  <dcterms:modified xsi:type="dcterms:W3CDTF">2026-01-27T12:51:36Z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