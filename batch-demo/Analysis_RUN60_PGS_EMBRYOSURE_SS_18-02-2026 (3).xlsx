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GS Lab Files\9. PGS Data and Report\2026 PGS\2.Feb 2026\8.RUN60_PGS_EMBRYOSURE_SS_18-02-2026\"/>
    </mc:Choice>
  </mc:AlternateContent>
  <bookViews>
    <workbookView xWindow="0" yWindow="0" windowWidth="20490" windowHeight="7530"/>
  </bookViews>
  <sheets>
    <sheet name="summary" sheetId="1" r:id="rId1"/>
    <sheet name="Details" sheetId="3" r:id="rId2"/>
    <sheet name="FOLDER" sheetId="5" r:id="rId3"/>
    <sheet name="GC comments" sheetId="4" r:id="rId4"/>
    <sheet name="Inconclusive" sheetId="2" r:id="rId5"/>
  </sheets>
  <definedNames>
    <definedName name="_xlnm._FilterDatabase" localSheetId="0" hidden="1">summary!$A$14:$N$108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1" i="5"/>
</calcChain>
</file>

<file path=xl/sharedStrings.xml><?xml version="1.0" encoding="utf-8"?>
<sst xmlns="http://schemas.openxmlformats.org/spreadsheetml/2006/main" count="1587" uniqueCount="567">
  <si>
    <t>Analysis Results</t>
  </si>
  <si>
    <t>Sample name</t>
  </si>
  <si>
    <t>QC</t>
  </si>
  <si>
    <t>Conclusion</t>
  </si>
  <si>
    <t>Karyotype MWF</t>
  </si>
  <si>
    <t>Result</t>
  </si>
  <si>
    <t>REPORT ASSIGNED</t>
  </si>
  <si>
    <t>RITHIKA</t>
  </si>
  <si>
    <t>Naveen</t>
  </si>
  <si>
    <t>MAPD</t>
  </si>
  <si>
    <t>BinCV</t>
  </si>
  <si>
    <t>CNVMergeCV</t>
  </si>
  <si>
    <t>MTcopy</t>
  </si>
  <si>
    <t>CNVpq</t>
  </si>
  <si>
    <t>UniqueReads</t>
  </si>
  <si>
    <t xml:space="preserve"> Patient Name</t>
  </si>
  <si>
    <t>No. of Embryos received</t>
  </si>
  <si>
    <t>Embryo Name</t>
  </si>
  <si>
    <t>Controls WGA &amp; seq controls</t>
  </si>
  <si>
    <t>Test Name</t>
  </si>
  <si>
    <t>Client Name</t>
  </si>
  <si>
    <t>Location</t>
  </si>
  <si>
    <t>Embryologist</t>
  </si>
  <si>
    <t>WGA Conc. (ng/µL)</t>
  </si>
  <si>
    <t>Embryo Details</t>
  </si>
  <si>
    <t>Result Summary</t>
  </si>
  <si>
    <t xml:space="preserve">Test </t>
  </si>
  <si>
    <t>Date of Biopsy</t>
  </si>
  <si>
    <t>Date Sample Received</t>
  </si>
  <si>
    <t>Date TRF received</t>
  </si>
  <si>
    <t>BOX Number</t>
  </si>
  <si>
    <t>Sample ID</t>
  </si>
  <si>
    <t>Remarks</t>
  </si>
  <si>
    <t>Patient Name</t>
  </si>
  <si>
    <t>NUMBER OF EMBRYOS</t>
  </si>
  <si>
    <t>Center name</t>
  </si>
  <si>
    <t>EMBRYOLOGIST NAME</t>
  </si>
  <si>
    <t>KIT DETAIL</t>
  </si>
  <si>
    <t>WGA Done by</t>
  </si>
  <si>
    <t>Attune upload</t>
  </si>
  <si>
    <t>NGS Report</t>
  </si>
  <si>
    <t>Shivangi</t>
  </si>
  <si>
    <t>SWETHA</t>
  </si>
  <si>
    <t>GENDER</t>
  </si>
  <si>
    <t>Karyotype NORMAL WF</t>
  </si>
  <si>
    <t>Received by</t>
  </si>
  <si>
    <t>S.NO</t>
  </si>
  <si>
    <t>WGA DONE ON</t>
  </si>
  <si>
    <t>WGA Storage Box</t>
  </si>
  <si>
    <t>SEQ DATE</t>
  </si>
  <si>
    <t>SEQ Platform</t>
  </si>
  <si>
    <t>Embryo grade</t>
  </si>
  <si>
    <t>AUTOSOMES</t>
  </si>
  <si>
    <t>SEX</t>
  </si>
  <si>
    <t>ARUN</t>
  </si>
  <si>
    <t>JAN26P188</t>
  </si>
  <si>
    <t>AND25420007161</t>
  </si>
  <si>
    <t>@Dr_Anand_Babu_K Arun this patient they have paid 4 embryos but we have recieved 5 embryos please check it. Process al 5 embryos and update me the results before report release without fail.
TRF RECEIVED ON 14.02.2026.
FASTRACK</t>
  </si>
  <si>
    <t>AAFEEN HUSSAIN (billed only for 4 embryos)</t>
  </si>
  <si>
    <t>AH-1,2,3,4,5</t>
  </si>
  <si>
    <t>AH0</t>
  </si>
  <si>
    <t>PGT-A</t>
  </si>
  <si>
    <t>CHROMINST</t>
  </si>
  <si>
    <t>SURFSEQ</t>
  </si>
  <si>
    <t>11-02-2026 &amp; 12-02-2026</t>
  </si>
  <si>
    <t>D.MOHAN</t>
  </si>
  <si>
    <t>NOV25P395</t>
  </si>
  <si>
    <t>DCC0000002758</t>
  </si>
  <si>
    <t>SOFT COPY TRF RECEIVED. HARD COPY NOT RECEIVED</t>
  </si>
  <si>
    <t>AARUSHI SAXENA</t>
  </si>
  <si>
    <t>AG-1,2,3,4,5,6</t>
  </si>
  <si>
    <t>AG.1,2</t>
  </si>
  <si>
    <t>MOTHERHOOD HOSPITAL</t>
  </si>
  <si>
    <t>GURGAON</t>
  </si>
  <si>
    <t>RAHUL</t>
  </si>
  <si>
    <t>NOV25P401</t>
  </si>
  <si>
    <t>DCC0000002764</t>
  </si>
  <si>
    <t>TANYA</t>
  </si>
  <si>
    <t>TR-1,2,3,4</t>
  </si>
  <si>
    <t>TN.1,2</t>
  </si>
  <si>
    <t>RAHUL KUMAR</t>
  </si>
  <si>
    <t>FEB26P57</t>
  </si>
  <si>
    <t>ADB0000024235</t>
  </si>
  <si>
    <t>KALAIVANI V</t>
  </si>
  <si>
    <t>KS1</t>
  </si>
  <si>
    <t>NC1</t>
  </si>
  <si>
    <t>CREATE FERILITY PVT LTD</t>
  </si>
  <si>
    <t>BANGALORE</t>
  </si>
  <si>
    <t>ASHWINI L S</t>
  </si>
  <si>
    <t>JAN26P68</t>
  </si>
  <si>
    <t>DCC0000002731</t>
  </si>
  <si>
    <t>ANJALI SRIVASTAVA</t>
  </si>
  <si>
    <t>AA-1,2,3,4,5</t>
  </si>
  <si>
    <t>C</t>
  </si>
  <si>
    <t>GENESIS CLINIC &amp; FERTILITY CENTRE</t>
  </si>
  <si>
    <t>LUCKNOW</t>
  </si>
  <si>
    <t>RAMESH GUPTA</t>
  </si>
  <si>
    <t>JAN26P59</t>
  </si>
  <si>
    <t>AND25720038979</t>
  </si>
  <si>
    <t>NISHA SEKHAR V</t>
  </si>
  <si>
    <t>NH-1</t>
  </si>
  <si>
    <t>NH BL</t>
  </si>
  <si>
    <t>NOVA IVF FERTILITY</t>
  </si>
  <si>
    <t>PALAKKAD</t>
  </si>
  <si>
    <t>HIMANI AGNIHOTRI</t>
  </si>
  <si>
    <t>JAN26-P26</t>
  </si>
  <si>
    <t>AND25420007191</t>
  </si>
  <si>
    <t>SHAIK RESHMA</t>
  </si>
  <si>
    <t>RS-1,2,3</t>
  </si>
  <si>
    <t>RS.</t>
  </si>
  <si>
    <t>AMMA IVF CENTER</t>
  </si>
  <si>
    <t>VIJAYAWADA</t>
  </si>
  <si>
    <t>MUDUMARI SIVA KRISHNA</t>
  </si>
  <si>
    <t>DEC25P179</t>
  </si>
  <si>
    <t>ADB0000024244</t>
  </si>
  <si>
    <t>HEMALATHA BANGALORE SHEKAR</t>
  </si>
  <si>
    <t>HA-1,2</t>
  </si>
  <si>
    <t>HABL</t>
  </si>
  <si>
    <t>OASIS FERTILITY</t>
  </si>
  <si>
    <t>HEBBAL, BANGALORE</t>
  </si>
  <si>
    <t>DR. KRISHNA CHAITANYA</t>
  </si>
  <si>
    <t>NOV25P386</t>
  </si>
  <si>
    <t>AMB0000005769</t>
  </si>
  <si>
    <t>DR. AHEMADI BEGUM PATVEGHAR</t>
  </si>
  <si>
    <t>AP-1,2</t>
  </si>
  <si>
    <t>APCC</t>
  </si>
  <si>
    <t>PGT-SR</t>
  </si>
  <si>
    <t>SHOBHA NURSING HOME PVT LTD</t>
  </si>
  <si>
    <t>SOLAPUR</t>
  </si>
  <si>
    <t>STEPHEN Y</t>
  </si>
  <si>
    <t>JAN26P180</t>
  </si>
  <si>
    <t>AND25150124436</t>
  </si>
  <si>
    <t>SHYAMALA PANNEER SELVAM</t>
  </si>
  <si>
    <t>SP-1</t>
  </si>
  <si>
    <t>PEARL SINGAPORE FERTILITY CENTRE</t>
  </si>
  <si>
    <t>CHENNAI</t>
  </si>
  <si>
    <t>DR.AGNES</t>
  </si>
  <si>
    <t>10 &amp; 11-02-2026</t>
  </si>
  <si>
    <t>NA</t>
  </si>
  <si>
    <t>AND25150124413</t>
  </si>
  <si>
    <t>SOWMYA</t>
  </si>
  <si>
    <t>SP-1,2,3</t>
  </si>
  <si>
    <t>NC</t>
  </si>
  <si>
    <t>A4 FERTILITY CENTER</t>
  </si>
  <si>
    <t>TAMBARAM, CHENNAI</t>
  </si>
  <si>
    <t>JAYARAMAN</t>
  </si>
  <si>
    <t>09 &amp; 10-02-2026</t>
  </si>
  <si>
    <t>AND25150124408</t>
  </si>
  <si>
    <t>S H MUNIRA BANU</t>
  </si>
  <si>
    <t>MS-1,2,3</t>
  </si>
  <si>
    <t>NC.</t>
  </si>
  <si>
    <t>AND25150124418</t>
  </si>
  <si>
    <t>FLORA APARNA</t>
  </si>
  <si>
    <t>FK-1,2,3,4</t>
  </si>
  <si>
    <t>08-02-2026/09-02-2026</t>
  </si>
  <si>
    <t>JAN26P181</t>
  </si>
  <si>
    <t>AND25420007213</t>
  </si>
  <si>
    <t>NISHA KUMARI</t>
  </si>
  <si>
    <t>NR-1.1,1.2</t>
  </si>
  <si>
    <t>B,C</t>
  </si>
  <si>
    <t>HEGDE HOSPITAL</t>
  </si>
  <si>
    <t>MADHAPUR</t>
  </si>
  <si>
    <t>SIDDESH B</t>
  </si>
  <si>
    <t>JAN26P197</t>
  </si>
  <si>
    <t>AND25420007212</t>
  </si>
  <si>
    <t>Dr. Anand Babu K, [16-02-2026 11:31] 
NABANITA JENA, Please confirm the test. 
Anjana ADL, [16-02-2026 11:59] 
NABANITA JENA,_ PGT A</t>
  </si>
  <si>
    <t>NABANITA JENA</t>
  </si>
  <si>
    <t>NJ1</t>
  </si>
  <si>
    <t>NJ1.</t>
  </si>
  <si>
    <t>BHUBANESHWAR</t>
  </si>
  <si>
    <t>PRIYADARSINI SUNANDA</t>
  </si>
  <si>
    <t>FEB26P44</t>
  </si>
  <si>
    <t>ADB0000024291</t>
  </si>
  <si>
    <t>SUDIPTA SAHU</t>
  </si>
  <si>
    <t>SS-1,2</t>
  </si>
  <si>
    <t>CONTROL</t>
  </si>
  <si>
    <t>SWATHI G</t>
  </si>
  <si>
    <t>NOV25P196</t>
  </si>
  <si>
    <t>AMB0000005842</t>
  </si>
  <si>
    <t>PRAPTI GUPTA</t>
  </si>
  <si>
    <t>PG-1,2,3,4,5,6</t>
  </si>
  <si>
    <t>PG.-1,2,3,4,5,6</t>
  </si>
  <si>
    <t>YAAMI FERTILITY &amp; IVF CENTRE</t>
  </si>
  <si>
    <t>INDORE</t>
  </si>
  <si>
    <t>RITU YOU</t>
  </si>
  <si>
    <t>JAN26P121</t>
  </si>
  <si>
    <t>DCC0000002750</t>
  </si>
  <si>
    <t>MANPREET NANDA</t>
  </si>
  <si>
    <t>MT-1,2,3</t>
  </si>
  <si>
    <t>MT1.</t>
  </si>
  <si>
    <t>AMRITSAR</t>
  </si>
  <si>
    <t>GAURAV MITTAL</t>
  </si>
  <si>
    <t>NOV25P303</t>
  </si>
  <si>
    <t>AMB0000005734</t>
  </si>
  <si>
    <t>PARINITA MOHITE</t>
  </si>
  <si>
    <t>PM-1</t>
  </si>
  <si>
    <t>NC-1,2</t>
  </si>
  <si>
    <t>SUNANDA IVF</t>
  </si>
  <si>
    <t>KOLHAPUR</t>
  </si>
  <si>
    <t>AMAR NIKAM</t>
  </si>
  <si>
    <t>DC25P218</t>
  </si>
  <si>
    <t>DCC0000002772</t>
  </si>
  <si>
    <t>Dr Fiona D Souza ADL, [14-02-2026 14:08]
Please fast track PGT sample of Mrs Helen
Dr Fiona D Souza ADL, [14-02-2026 14:08]
Collected today
It will reach in 48 hrs
FASTRACK</t>
  </si>
  <si>
    <t>HELEN GEBRESLASE</t>
  </si>
  <si>
    <t>HM-1,2,3,4,5</t>
  </si>
  <si>
    <t>HM-C</t>
  </si>
  <si>
    <t>ALTRUS HEALTHCARE</t>
  </si>
  <si>
    <t>DEHRADUN</t>
  </si>
  <si>
    <t>SUDHIR KUMAR</t>
  </si>
  <si>
    <t>FEB26P13</t>
  </si>
  <si>
    <t>AND25420007232</t>
  </si>
  <si>
    <t>SMREEN FATIMA</t>
  </si>
  <si>
    <t>SM.-1,2</t>
  </si>
  <si>
    <t>SMBL</t>
  </si>
  <si>
    <t>SREE SWAPNA FERTILITY CENTRE</t>
  </si>
  <si>
    <t>HYDERABAD</t>
  </si>
  <si>
    <t>UDAY</t>
  </si>
  <si>
    <t>DEC25P166</t>
  </si>
  <si>
    <t>DCC0000002782</t>
  </si>
  <si>
    <t>ASHWINEE LATCHAYYA</t>
  </si>
  <si>
    <t>AS-1,2,3,4,5</t>
  </si>
  <si>
    <t>YATHARTH SUPERSPECIALITY</t>
  </si>
  <si>
    <t>NOIDA</t>
  </si>
  <si>
    <t>SAPNA TYAGI</t>
  </si>
  <si>
    <t>FEB26P41</t>
  </si>
  <si>
    <t>ADB0000024447</t>
  </si>
  <si>
    <t>Dr. Anand Babu K, [16-02-2026 11:55]
DEBASHREE CHAKRABORTY, PLEASE CONFIRM THE TEST
Anjana ADL, [16-02-2026 16:35]
DEBASHREE CHAKRABORTY_ PGT A</t>
  </si>
  <si>
    <t>DEBASHREE CHAKRABORTY</t>
  </si>
  <si>
    <t>DSE-1,2</t>
  </si>
  <si>
    <t>DS NC</t>
  </si>
  <si>
    <t>BIRTH RIGHT FERTILITY BY RAINBOW HOSPITAL</t>
  </si>
  <si>
    <t>PRATHIMA T</t>
  </si>
  <si>
    <t>DEC25P142</t>
  </si>
  <si>
    <t>AND25740075099</t>
  </si>
  <si>
    <t>Dr. Anand Babu K, [16-02-2026 12:55]
Ganga, Please confirm the test.
Anjana ADL, [16-02-2026 14:28]
Ganga _ PGT A</t>
  </si>
  <si>
    <t>GANGA</t>
  </si>
  <si>
    <t>GR-1,2,3,4</t>
  </si>
  <si>
    <t>GRC-1,2,3,4</t>
  </si>
  <si>
    <t>TRICHY</t>
  </si>
  <si>
    <t>PAPITHA</t>
  </si>
  <si>
    <t>DEC25P150</t>
  </si>
  <si>
    <t>AND25630005005</t>
  </si>
  <si>
    <t>PGT-M trf received. Informed GC to provide revised PGT-A trf. till then hold for processing
Dr. Anand Babu K, [08-01-2026 11:05]
UPPALA SUJITHA, PLEASE SHARE REVISED PGTA TRF.
Dr. Anand Babu K, [08-01-2026 11:08]
WE ARE HOLDING THE PROCESS UNTIL REVISED COMPLETE TRF RECEIVED.
Suruthi GC ADL, [08-01-2026 11:14]
Yet to receive from Jose sir
FASTRACK</t>
  </si>
  <si>
    <t>UPPALA SUJITHA</t>
  </si>
  <si>
    <t>SS-1,2,3</t>
  </si>
  <si>
    <t>PGTA</t>
  </si>
  <si>
    <t>MIRACLE ADVANCED REPRODUCTIVE CENTRE</t>
  </si>
  <si>
    <t>MURTHY P S R</t>
  </si>
  <si>
    <t>JAN26P143</t>
  </si>
  <si>
    <t>AND25420007244</t>
  </si>
  <si>
    <t>REBIOPSY</t>
  </si>
  <si>
    <t>AYESHA JABEEN QURAISHI (REBIOPSY)</t>
  </si>
  <si>
    <t>AA-1.1</t>
  </si>
  <si>
    <t>NISHANTH SINGH</t>
  </si>
  <si>
    <t>FEB26P63</t>
  </si>
  <si>
    <t>AND25420007258</t>
  </si>
  <si>
    <t>SOWMYA REDDY V</t>
  </si>
  <si>
    <t>SR-1,2,3,4</t>
  </si>
  <si>
    <t>SR.</t>
  </si>
  <si>
    <t>FERTICARE IVF CENTRE</t>
  </si>
  <si>
    <t>SIVA KRISHNA M</t>
  </si>
  <si>
    <t>NOV25P106</t>
  </si>
  <si>
    <t>DCC0000002801</t>
  </si>
  <si>
    <t>BABITA MISHRA</t>
  </si>
  <si>
    <t>BK1</t>
  </si>
  <si>
    <t>BK.1</t>
  </si>
  <si>
    <t>MOTHERHOOD HOSPITAL FERTILITY &amp; IVF</t>
  </si>
  <si>
    <t>PREKSHA JUNDAL</t>
  </si>
  <si>
    <t>FEB26P142</t>
  </si>
  <si>
    <t>AND25630005009</t>
  </si>
  <si>
    <t>PRECILLA EZHILMATI</t>
  </si>
  <si>
    <t>PD-1,2,3,4,5,6</t>
  </si>
  <si>
    <t>PDC</t>
  </si>
  <si>
    <t>MOTHERS CARE WOMENS HOSPITAL</t>
  </si>
  <si>
    <t>ANANDHA VISHNU</t>
  </si>
  <si>
    <t>AAFEENHUSSAIN-AH1_L00_R1</t>
  </si>
  <si>
    <t>PASS</t>
  </si>
  <si>
    <t>No copy number abnormality</t>
  </si>
  <si>
    <t>XY</t>
  </si>
  <si>
    <t>Euploid</t>
  </si>
  <si>
    <t>AAFEENHUSSAIN-AH2_L00_R1</t>
  </si>
  <si>
    <t>XX</t>
  </si>
  <si>
    <t>AAFEENHUSSAIN-AH3_L00_R1</t>
  </si>
  <si>
    <t>AAFEENHUSSAIN-AH4_L00_R1</t>
  </si>
  <si>
    <t>Mosaic</t>
  </si>
  <si>
    <t>del(7)(p22.3p11.2)(~57.00Mb,~34%)</t>
  </si>
  <si>
    <t>AAFEENHUSSAIN-AH5_L00_R1</t>
  </si>
  <si>
    <t>FAIL</t>
  </si>
  <si>
    <t>N/A</t>
  </si>
  <si>
    <t>AARUSHISAXENA-AG1_L00_R1</t>
  </si>
  <si>
    <t>AARUSHISAXENA-AG2_L00_R1</t>
  </si>
  <si>
    <t>AARUSHISAXENA-AG3_L00_R1</t>
  </si>
  <si>
    <t>AARUSHISAXENA-AG4_L00_R1</t>
  </si>
  <si>
    <t>AARUSHISAXENA-AG5_L00_R1</t>
  </si>
  <si>
    <t>dup(8)(q22.2q24.3)(~44.86Mb,~37%)</t>
  </si>
  <si>
    <t>AARUSHISAXENA-AG6_L00_R1</t>
  </si>
  <si>
    <t>ANJALISRIVASTAVA-AA1_L00_R1</t>
  </si>
  <si>
    <t>Abnormal</t>
  </si>
  <si>
    <t>del(11)(q14.1q25)(~51.51Mb)</t>
  </si>
  <si>
    <t>ANJALISRIVASTAVA-AA2_L00_R1</t>
  </si>
  <si>
    <t>ANJALISRIVASTAVA-AA3_L00_R1</t>
  </si>
  <si>
    <t>ANJALISRIVASTAVA-AA4_L00_R1</t>
  </si>
  <si>
    <t>ANJALISRIVASTAVA-AA5_L00_R1</t>
  </si>
  <si>
    <t>dup(7)(p15.2q36.3)(~131.64Mb,~37%)</t>
  </si>
  <si>
    <t>ANJANIDEVI-AD6_L00_R1</t>
  </si>
  <si>
    <t>ASHWINEELATCHAYYA-AS1_L00_R1</t>
  </si>
  <si>
    <t>+6(~48%)</t>
  </si>
  <si>
    <t>ASHWINEELATCHAYYA-AS2_L00_R1</t>
  </si>
  <si>
    <t>XO,-X</t>
  </si>
  <si>
    <t>-X,+1,+2,-3(~46%),-4(~45%),+5,+6,-7(~51%),-8(~46%),-9(~43%),-10(~48%),+11,+12,-13(~48%),-14(~45%),-15(~45%),+17,+18,+19,+20,+21,-22(~56%)</t>
  </si>
  <si>
    <t>ASHWINEELATCHAYYA-AS3_L00_R1</t>
  </si>
  <si>
    <t>ASHWINEELATCHAYYA-AS4_L00_R1</t>
  </si>
  <si>
    <t>ASHWINEELATCHAYYA-AS5_L00_R1</t>
  </si>
  <si>
    <t>ASWINVAISHALIPN-AV1_L00_R1</t>
  </si>
  <si>
    <t>-12,-13(~37%),-22(~42%)</t>
  </si>
  <si>
    <t>ASWINVAISHALIPN-AV2_L00_R1</t>
  </si>
  <si>
    <t>AYESHAJABEEN-AA11_L00_R1</t>
  </si>
  <si>
    <t>+16</t>
  </si>
  <si>
    <t>BABITAMISHRA-BK1_L00_R1</t>
  </si>
  <si>
    <t>+16,dup(21)(q11.2q22.3)(~30.50Mb)</t>
  </si>
  <si>
    <t>DEBASHREE-DSE1_L00_R1</t>
  </si>
  <si>
    <t>XY,+X(~30%)</t>
  </si>
  <si>
    <t>+X(~30%)</t>
  </si>
  <si>
    <t>DEBASHREE-DSE2_L00_R1</t>
  </si>
  <si>
    <t>DRAHEMADIBEGUM-AP1_L00_R1</t>
  </si>
  <si>
    <t>DRAHEMADIBEGUM-AP2_L00_R1</t>
  </si>
  <si>
    <t>del(3)(p26.3p11.1)(~90.50Mb,~52%),+9(~67%)</t>
  </si>
  <si>
    <t>FLORAAPARNA-FK1_L00_R1</t>
  </si>
  <si>
    <t>FLORAAPARNA-FK2_L00_R1</t>
  </si>
  <si>
    <t>del(2)(q37.1q37.3)(~12.20Mb,~56%),dup(8)(q24.11q24.3)(~28.36Mb,~46%)</t>
  </si>
  <si>
    <t>FLORAAPARNA-FK3_L00_R1</t>
  </si>
  <si>
    <t>FLORAAPARNA-FK4_L00_R1</t>
  </si>
  <si>
    <t>GANGA-GR1_L00_R1</t>
  </si>
  <si>
    <t>GANGA-GR2_L00_R1</t>
  </si>
  <si>
    <t>GANGA-GR3_L00_R1</t>
  </si>
  <si>
    <t>GANGA-GR4_L00_R1</t>
  </si>
  <si>
    <t>HELENGEBRESLASE-HM1_L00_R1</t>
  </si>
  <si>
    <t>dup(10)(q25.2q26.13)(~10.00Mb)</t>
  </si>
  <si>
    <t>HELENGEBRESLASE-HM2_L00_R1</t>
  </si>
  <si>
    <t>HELENGEBRESLASE-HM3_L00_R1</t>
  </si>
  <si>
    <t>HELENGEBRESLASE-HM4_L00_R1</t>
  </si>
  <si>
    <t>HELENGEBRESLASE-HM5_L00_R1</t>
  </si>
  <si>
    <t>del(19)(q13.11q13.43)(~25.13Mb)</t>
  </si>
  <si>
    <t>HEMALATHABANGALORE-HA1_L00_R1</t>
  </si>
  <si>
    <t>del(8)(p23.3q24.13)(~125.00Mb,~45%),-15,+22</t>
  </si>
  <si>
    <t>HEMALATHABANGALORE-HA2_L00_R1</t>
  </si>
  <si>
    <t>KALAVANIV-KS1_L00_R1</t>
  </si>
  <si>
    <t>XX,dup(X)(q21.1q28)(~73.27Mb)</t>
  </si>
  <si>
    <t>dup(X)(q21.1q28)(~73.27Mb),-1,+2,-3,del(5)(p15.33q31.1)(~131.00Mb,~69%),-8,del(10)(p15.3p11.1)(~39.00Mb,~41%),dup(12)(p13.33p12.3)(~20.00Mb),del(12)(q14.1q24.33)(~73.35Mb),-14,-15(~53%),+16(~65%),-17(~52%),-20</t>
  </si>
  <si>
    <t>MANPREETNANDA-MT1_L00_R1</t>
  </si>
  <si>
    <t>MANPREETNANDA-MT2_L00_R1</t>
  </si>
  <si>
    <t>+15,dup(20)(p12.1q13.33)(~48.53Mb,~41%),-22</t>
  </si>
  <si>
    <t>MANPREETNANDA-MT3_L00_R1</t>
  </si>
  <si>
    <t>NABANITAJENA-NJ1_L00_R1</t>
  </si>
  <si>
    <t>XYY,+Y</t>
  </si>
  <si>
    <t>+Y</t>
  </si>
  <si>
    <t>NISHAKUMARI-NR11_L00_R1</t>
  </si>
  <si>
    <t>-16</t>
  </si>
  <si>
    <t>NISHAKUMARI-NR12_L00_R1</t>
  </si>
  <si>
    <t>-22</t>
  </si>
  <si>
    <t>NISHASEKHARV-NH1_L00_R1</t>
  </si>
  <si>
    <t>+15(~44%),del(20)(p13p11.1)(~26.00Mb,~60%)</t>
  </si>
  <si>
    <t>PALLAVIKRISHNA-PK1_L00_R1</t>
  </si>
  <si>
    <t>PARINITAMOHITE-PM1_L00_R1</t>
  </si>
  <si>
    <t>XX (Suspected to contain 6% of Y-chromosome)</t>
  </si>
  <si>
    <t>+1(~52%),+2(~49%),+20(~63%)</t>
  </si>
  <si>
    <t>PRAPTIGUPTA-PG1_L00_R1</t>
  </si>
  <si>
    <t>PRAPTIGUPTA-PG2_L00_R1</t>
  </si>
  <si>
    <t>PRAPTIGUPTA-PG3_L00_R1</t>
  </si>
  <si>
    <t>PRAPTIGUPTA-PG4_L00_R1</t>
  </si>
  <si>
    <t>PRAPTIGUPTA-PG5_L00_R1</t>
  </si>
  <si>
    <t>+1</t>
  </si>
  <si>
    <t>PRAPTIGUPTA-PG6_L00_R1</t>
  </si>
  <si>
    <t>+14</t>
  </si>
  <si>
    <t>PRECILLAEZHILMATI-PD1_L00_R1</t>
  </si>
  <si>
    <t>+20(~46%),+22(~52%)</t>
  </si>
  <si>
    <t>PRECILLAEZHILMATI-PD2_L00_R1</t>
  </si>
  <si>
    <t>PRECILLAEZHILMATI-PD3_L00_R1</t>
  </si>
  <si>
    <t>PRECILLAEZHILMATI-PD4_L00_R1</t>
  </si>
  <si>
    <t>del(10)(p15.3p12.1)(~26.00Mb)</t>
  </si>
  <si>
    <t>PRECILLAEZHILMATI-PD5_L00_R1</t>
  </si>
  <si>
    <t>PRECILLAEZHILMATI-PD6_L00_R1</t>
  </si>
  <si>
    <t>dup(1)(q21.1q44)(~104.75Mb,~35%),dup(16)(q11.2q24.3)(~44.35Mb,~36%)</t>
  </si>
  <si>
    <t>SARIKABAURASI-SB1_L00_R1</t>
  </si>
  <si>
    <t>SHAIKRESHMA-RS1_L00_R1</t>
  </si>
  <si>
    <t>SHAIKRESHMA-RS2_L00_R1</t>
  </si>
  <si>
    <t>+22(~43%)</t>
  </si>
  <si>
    <t>SHAIKRESHMA-RS3_L00_R1</t>
  </si>
  <si>
    <t>SHMUNIRABANU-MS1_L00_R1</t>
  </si>
  <si>
    <t>SHMUNIRABANU-MS2_L00_R1</t>
  </si>
  <si>
    <t>SHMUNIRABANU-MS3_L00_R1</t>
  </si>
  <si>
    <t>-7</t>
  </si>
  <si>
    <t>SHYAMALAPANNEER-SP1_L00_R1</t>
  </si>
  <si>
    <t>XN,+X,-Y(~63%)</t>
  </si>
  <si>
    <t>+X,-Y(~63%)</t>
  </si>
  <si>
    <t>SMREENFATIMA-SM1_L00_R1</t>
  </si>
  <si>
    <t>XY,del(X)(p22.33q27.3)(~143.50Mb,~36%)</t>
  </si>
  <si>
    <t>del(X)(p22.33q27.3)(~143.50Mb,~36%)</t>
  </si>
  <si>
    <t>SMREENFATIMA-SM2_L00_R1</t>
  </si>
  <si>
    <t>+2(~54%),-4(~37%),-8(~48%),+9,-10(~39%),-22</t>
  </si>
  <si>
    <t>SOWMYA-SP1_L00_R1</t>
  </si>
  <si>
    <t>SOWMYA-SP2_L00_R1</t>
  </si>
  <si>
    <t>SOWMYA-SP3_L00_R1</t>
  </si>
  <si>
    <t>SOWMYAREDDYV-SR1_L00_R1</t>
  </si>
  <si>
    <t>SOWMYAREDDYV-SR2_L00_R1</t>
  </si>
  <si>
    <t>SOWMYAREDDYV-SR3_L00_R1</t>
  </si>
  <si>
    <t>+22(~40%)</t>
  </si>
  <si>
    <t>SOWMYAREDDYV-SR4_L00_R1</t>
  </si>
  <si>
    <t>XN,-X,+Y</t>
  </si>
  <si>
    <t>-X,+Y,del(2)(q33.3q36.3)(~22.50Mb),del(3)(q26.32q27.3)(~10.50Mb),dup(5)(p15.33q12.3)(~64.50Mb),dup(5)(q14.3q22.2)(~22.00Mb),dup(5)(q31.1q35.3)(~47.42Mb),del(7)(q22.3q36.3)(~54.64Mb,~67%),del(9)(q21.12q21.33)(~15.00Mb),del(10)(q11.21q22.3)(~39.00Mb),-13,dup(14)(q32.13q32.33)(~11.85Mb),dup(15)(q25.2q26.1)(~10.50Mb),del(16)(p13.3p12.3)(~12.50Mb),-20,+22(~44%)</t>
  </si>
  <si>
    <t>SUDIPTASAHU-SS1_L00_R1</t>
  </si>
  <si>
    <t>XN,+X(~64%),-Y(~51%)</t>
  </si>
  <si>
    <t>+X(~64%),-Y(~51%)</t>
  </si>
  <si>
    <t>SUDIPTASAHU-SS2_L00_R1</t>
  </si>
  <si>
    <t>XY,+X(~36%)</t>
  </si>
  <si>
    <t>+X(~36%)</t>
  </si>
  <si>
    <t>TANYA-TR1_L00_R1</t>
  </si>
  <si>
    <t>TANYA-TR2_L00_R1</t>
  </si>
  <si>
    <t>TANYA-TR3_L00_R1</t>
  </si>
  <si>
    <t>dup(2)(p25.1p22.3)(~21.00Mb,~49%),-12,-15,-21,-22</t>
  </si>
  <si>
    <t>TANYA-TR4_L00_R1</t>
  </si>
  <si>
    <t>+17(~62%)</t>
  </si>
  <si>
    <t>UPPALASUJITHA-SS1_L00_R1</t>
  </si>
  <si>
    <t>UPPALASUJITHA-SS2_L00_R1</t>
  </si>
  <si>
    <t>+1(~66%),+5(~65%),+8(~61%),+13(~59%),+22</t>
  </si>
  <si>
    <t>UPPALASUJITHA-SS3_L00_R1</t>
  </si>
  <si>
    <t>ZAHEDABATOOLABDUL-ZW3_L00_R1</t>
  </si>
  <si>
    <t>-X,+1,+2,+5,+6,-7,+11,+12,-13,+17,+18,+19,+20,+21,-22</t>
  </si>
  <si>
    <t>-12</t>
  </si>
  <si>
    <t>del(3)(p26.3p11.1)(~90.50Mb),+9</t>
  </si>
  <si>
    <t>del(2)(q37.1q37.3)(~12.20Mb)</t>
  </si>
  <si>
    <t>-15,dup(22)(q11.1q13.31)(~29.00Mb)</t>
  </si>
  <si>
    <t>dup(X)(q21.1q28)(~75.27Mb),-1,+2,-3,del(5)(p15.33q31.1)(~131.00Mb),-8,dup(12)(p13.33p12.3)(~20.00Mb),del(12)(q14.1q24.33)(~73.35Mb),-14,-15,+16,-17,-20</t>
  </si>
  <si>
    <t>+15,-22</t>
  </si>
  <si>
    <t>del(20)(p13p11.1)(~26.00Mb)</t>
  </si>
  <si>
    <t>+1,+2,+20</t>
  </si>
  <si>
    <t>+22</t>
  </si>
  <si>
    <t>+X,-Y</t>
  </si>
  <si>
    <t>+2,+9,-22</t>
  </si>
  <si>
    <t>-X,+Y,del(2)(q33.3q36.3)(~22.50Mb),dup(5)(p15.33q12.3)(~64.50Mb),dup(5)(q14.3q22.2)(~22.00Mb),dup(5)(q31.1q35.3)(~47.42Mb),del(7)(q22.3q36.3)(~54.64Mb),del(9)(q21.12q21.33)(~15.00Mb),del(10)(q11.21q22.3)(~39.00Mb),-13,dup(14)(q32.11q32.33)(~17.35Mb),dup(15)(q25.2q26.1)(~10.50Mb),del(16)(p13.3p12.3)(~12.50Mb),dup(17)(p13.3p11.2)(~22.00Mb),-20</t>
  </si>
  <si>
    <t>-12,-15,-21,-22</t>
  </si>
  <si>
    <t>+17</t>
  </si>
  <si>
    <t>+1,+5,+8,+13,+22</t>
  </si>
  <si>
    <t>Normal</t>
  </si>
  <si>
    <t>Inconclusive. High MAPD</t>
  </si>
  <si>
    <t>Inconclusive. Low reads</t>
  </si>
  <si>
    <t>SG-10</t>
  </si>
  <si>
    <t>SL-19</t>
  </si>
  <si>
    <t>MCA</t>
  </si>
  <si>
    <t>SML-7</t>
  </si>
  <si>
    <t>SMG-8</t>
  </si>
  <si>
    <t>SMG-7</t>
  </si>
  <si>
    <t>MG-6</t>
  </si>
  <si>
    <t>SEX MOSAIC GAIN (30%)</t>
  </si>
  <si>
    <t>SML-2, SMG-8</t>
  </si>
  <si>
    <t>MG-15, SML-20</t>
  </si>
  <si>
    <t>MG-20,22</t>
  </si>
  <si>
    <t>SMG-1,16</t>
  </si>
  <si>
    <t>MG-22</t>
  </si>
  <si>
    <t>SEX MOSAIC GAIN (36%)</t>
  </si>
  <si>
    <t>SEX MOSAIC GAIN (64%)</t>
  </si>
  <si>
    <t>MG-17</t>
  </si>
  <si>
    <t>Mosaic gain (30%)</t>
  </si>
  <si>
    <t>Mosaic gain (36%)</t>
  </si>
  <si>
    <t>Mosaic loss (36%)</t>
  </si>
  <si>
    <t>Mosaic gain (64%)</t>
  </si>
  <si>
    <t>SEX MOSAIC Loss (36%)</t>
  </si>
  <si>
    <t>SL-11</t>
  </si>
  <si>
    <t>MCA, Chaotic embryo</t>
  </si>
  <si>
    <t>Multiple chromsomal abnormalities</t>
  </si>
  <si>
    <t>L-12</t>
  </si>
  <si>
    <t>G-16</t>
  </si>
  <si>
    <t>G-16,SG-21</t>
  </si>
  <si>
    <t>L-15, SG-22</t>
  </si>
  <si>
    <t>G-15,L-22</t>
  </si>
  <si>
    <t>Abnormal sex</t>
  </si>
  <si>
    <t>L-16</t>
  </si>
  <si>
    <t>L-22</t>
  </si>
  <si>
    <t>G-1</t>
  </si>
  <si>
    <t>G-14</t>
  </si>
  <si>
    <t>SL-10</t>
  </si>
  <si>
    <t>L-7</t>
  </si>
  <si>
    <t>AAFEEN_HUSSAIN_(billed_only_for_4_embryos)</t>
  </si>
  <si>
    <t>AARUSHI_SAXENA</t>
  </si>
  <si>
    <t>KALAIVANI_V</t>
  </si>
  <si>
    <t>ANJALI_SRIVASTAVA</t>
  </si>
  <si>
    <t>NISHA_SEKHAR_V</t>
  </si>
  <si>
    <t>SHAIK_RESHMA</t>
  </si>
  <si>
    <t>HEMALATHA_BANGALORE_SHEKAR</t>
  </si>
  <si>
    <t>SHYAMALA_PANNEER_SELVAM</t>
  </si>
  <si>
    <t>S_H_MUNIRA_BANU</t>
  </si>
  <si>
    <t>FLORA_APARNA</t>
  </si>
  <si>
    <t>NISHA_KUMARI</t>
  </si>
  <si>
    <t>NABANITA_JENA</t>
  </si>
  <si>
    <t>SUDIPTA_SAHU</t>
  </si>
  <si>
    <t>PRAPTI_GUPTA</t>
  </si>
  <si>
    <t>MANPREET_NANDA</t>
  </si>
  <si>
    <t>PARINITA_MOHITE</t>
  </si>
  <si>
    <t>SMREEN_FATIMA</t>
  </si>
  <si>
    <t>ASHWINEE_LATCHAYYA</t>
  </si>
  <si>
    <t>DEBASHREE_CHAKRABORTY</t>
  </si>
  <si>
    <t>UPPALA_SUJITHA_(FASTRACK)</t>
  </si>
  <si>
    <t>AYESHA_JABEEN_QURAISHI_(REBIOPSY)</t>
  </si>
  <si>
    <t>SOWMYA_REDDY_V</t>
  </si>
  <si>
    <t>BABITA_MISHRA</t>
  </si>
  <si>
    <t>PRECILLA_EZHILMATI</t>
  </si>
  <si>
    <t>DR_AHEMADI_BEGUM_PATVEGHAR_(PGT-SR)</t>
  </si>
  <si>
    <t>HELEN_GEBRESLASE_(FASTRACK)</t>
  </si>
  <si>
    <t>AAFEENHUSSAIN</t>
  </si>
  <si>
    <t>AH5</t>
  </si>
  <si>
    <t>AD6</t>
  </si>
  <si>
    <t>AP1</t>
  </si>
  <si>
    <t>PK1</t>
  </si>
  <si>
    <t>PD2</t>
  </si>
  <si>
    <t>SB1</t>
  </si>
  <si>
    <t>MS1</t>
  </si>
  <si>
    <t>ZW3</t>
  </si>
  <si>
    <t>ANJANIDEVI</t>
  </si>
  <si>
    <t>DRAHEMADIBEGUM</t>
  </si>
  <si>
    <t>PALLAVIKRISHNA</t>
  </si>
  <si>
    <t>PRECILLAEZHILMATI</t>
  </si>
  <si>
    <t>SARIKABAURASI</t>
  </si>
  <si>
    <t>SHMUNIRABANU</t>
  </si>
  <si>
    <t>ZAHEDABATOOLABDUL</t>
  </si>
  <si>
    <t>AD-1,2,3,4,5,6</t>
  </si>
  <si>
    <t>AD1.</t>
  </si>
  <si>
    <t>9M FERTILITY BY ANKURA HOSPITAL</t>
  </si>
  <si>
    <t>RAJASHEKHAR U</t>
  </si>
  <si>
    <t>PK-1</t>
  </si>
  <si>
    <t>LAVANYA FERTILITY &amp; WOMEN HEALTH CENTRE</t>
  </si>
  <si>
    <t>TIRUPATHI</t>
  </si>
  <si>
    <t>DR. A. SELVAM</t>
  </si>
  <si>
    <t>SBC</t>
  </si>
  <si>
    <t>LULLANAGAR</t>
  </si>
  <si>
    <t>NIRANJAN LAL</t>
  </si>
  <si>
    <t>ZW-1,2,3</t>
  </si>
  <si>
    <t>ZW0</t>
  </si>
  <si>
    <t>APOLLO FERTILITY CENTER</t>
  </si>
  <si>
    <t>S.ROHINI</t>
  </si>
  <si>
    <t>RUN60_PGS_EMBRYOSURE_SS_18-02-2026</t>
  </si>
  <si>
    <t>JAN26P215</t>
  </si>
  <si>
    <t>AND25740073929</t>
  </si>
  <si>
    <t>CHROMINST FULL VOLUME</t>
  </si>
  <si>
    <t>ASWIN VAISHALI P N</t>
  </si>
  <si>
    <t>AV-1,2</t>
  </si>
  <si>
    <t>AV1.</t>
  </si>
  <si>
    <t>PGTA+HLA C</t>
  </si>
  <si>
    <t>MAA KAUVERY FERTILITY CENTER</t>
  </si>
  <si>
    <t>DR.BALAKUMARAN P</t>
  </si>
  <si>
    <t>REPEAT IN NEXT BATCH</t>
  </si>
  <si>
    <t>MULTIPLE MOSAIC, COMPLEX MOSAIC</t>
  </si>
  <si>
    <t>ASWIN_VAISHALI_P_N</t>
  </si>
  <si>
    <t>RUN59</t>
  </si>
  <si>
    <t>SL-3,G-9, ANEUPLOID BY UNBALANCED TRANSLOCATION</t>
  </si>
  <si>
    <t>"DAY 5 EMBRYO.
Dr. Anand Babu K, [19-02-2026 12:51]
THESE SAMPLES CAME IN DIFFERENT BATCH. dO YOU WANT A SINGLE REPORT OF DAY 5 AND 6 OR SEPARATE REPORTS?
Nupur GC ADL, [20-02-2026 12:19]
YES sir we can give Single report"</t>
  </si>
  <si>
    <t>REPEAT: 4</t>
  </si>
  <si>
    <t>NO OF EMBRYOS: 99</t>
  </si>
  <si>
    <t>REPEAT FROM RUN59</t>
  </si>
  <si>
    <t xml:space="preserve">1. Kindly confirm referring clinician name </t>
  </si>
  <si>
    <t xml:space="preserve">2. In TRF it is day 6 biopsy but in report it is given as day 5  kindly check </t>
  </si>
  <si>
    <t xml:space="preserve">3. Kindly confirm sample receipt date not mention in TRF </t>
  </si>
  <si>
    <t xml:space="preserve">4. Indication to be  ART cycle with donor oocyte PGT-A performed to screen embryos for chromosomal aneuploidies. </t>
  </si>
  <si>
    <t>5. Kindly change the font color of embryo details of SS3</t>
  </si>
  <si>
    <t>checked</t>
  </si>
  <si>
    <t>PRAPTIGUPTA-PG7_L00_R1</t>
  </si>
  <si>
    <t>-8(~30%),+16</t>
  </si>
  <si>
    <t>PRAPTIGUPTA-PG8_L00_R1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</si>
</sst>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Verdana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7EE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0" borderId="1" xfId="0" applyFont="1" applyBorder="1"/>
    <xf numFmtId="0" fontId="0" fillId="7" borderId="0" xfId="0" applyFill="1" applyAlignment="1">
      <alignment wrapText="1"/>
    </xf>
    <xf numFmtId="0" fontId="5" fillId="5" borderId="3" xfId="0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/>
    </xf>
    <xf numFmtId="0" fontId="0" fillId="0" borderId="5" xfId="0" applyBorder="1"/>
    <xf numFmtId="0" fontId="7" fillId="0" borderId="0" xfId="0" applyFont="1"/>
    <xf numFmtId="0" fontId="0" fillId="0" borderId="0" xfId="0" applyAlignment="1">
      <alignment horizontal="center"/>
    </xf>
    <xf numFmtId="0" fontId="1" fillId="8" borderId="6" xfId="0" applyFont="1" applyFill="1" applyBorder="1"/>
    <xf numFmtId="0" fontId="1" fillId="8" borderId="6" xfId="0" applyFont="1" applyFill="1" applyBorder="1" applyAlignment="1">
      <alignment wrapText="1"/>
    </xf>
    <xf numFmtId="0" fontId="3" fillId="8" borderId="6" xfId="0" applyFont="1" applyFill="1" applyBorder="1"/>
    <xf numFmtId="0" fontId="3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/>
    <xf numFmtId="0" fontId="8" fillId="5" borderId="2" xfId="7" applyFill="1" applyBorder="1" applyAlignment="1">
      <alignment horizontal="center"/>
    </xf>
    <xf numFmtId="0" fontId="5" fillId="5" borderId="3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5" borderId="3" xfId="0" applyFont="1" applyFill="1" applyBorder="1"/>
    <xf numFmtId="0" fontId="5" fillId="5" borderId="4" xfId="0" applyFont="1" applyFill="1" applyBorder="1" applyAlignment="1">
      <alignment horizontal="center"/>
    </xf>
    <xf numFmtId="0" fontId="9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14" fontId="4" fillId="0" borderId="1" xfId="0" applyNumberFormat="1" applyFont="1" applyBorder="1" applyAlignment="1">
      <alignment horizontal="right"/>
    </xf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 applyAlignment="1">
      <alignment horizontal="right"/>
    </xf>
    <xf numFmtId="14" fontId="4" fillId="0" borderId="1" xfId="0" applyNumberFormat="1" applyFont="1" applyBorder="1"/>
    <xf numFmtId="0" fontId="4" fillId="12" borderId="1" xfId="0" applyFont="1" applyFill="1" applyBorder="1"/>
    <xf numFmtId="0" fontId="4" fillId="14" borderId="1" xfId="0" applyFont="1" applyFill="1" applyBorder="1"/>
    <xf numFmtId="14" fontId="4" fillId="14" borderId="1" xfId="0" applyNumberFormat="1" applyFont="1" applyFill="1" applyBorder="1" applyAlignment="1">
      <alignment horizontal="right"/>
    </xf>
    <xf numFmtId="14" fontId="4" fillId="14" borderId="1" xfId="0" applyNumberFormat="1" applyFont="1" applyFill="1" applyBorder="1"/>
    <xf numFmtId="0" fontId="0" fillId="14" borderId="0" xfId="0" applyFill="1"/>
    <xf numFmtId="0" fontId="0" fillId="15" borderId="0" xfId="0" applyFill="1"/>
    <xf numFmtId="0" fontId="7" fillId="15" borderId="0" xfId="0" applyFont="1" applyFill="1"/>
    <xf numFmtId="49" fontId="0" fillId="0" borderId="0" xfId="0" applyNumberFormat="1" applyAlignment="1">
      <alignment wrapText="1"/>
    </xf>
    <xf numFmtId="0" fontId="0" fillId="0" borderId="6" xfId="0" applyBorder="1"/>
    <xf numFmtId="0" fontId="4" fillId="0" borderId="6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14" fontId="4" fillId="0" borderId="6" xfId="0" applyNumberFormat="1" applyFont="1" applyBorder="1" applyAlignment="1">
      <alignment wrapText="1"/>
    </xf>
    <xf numFmtId="0" fontId="7" fillId="0" borderId="6" xfId="0" applyFont="1" applyBorder="1"/>
    <xf numFmtId="0" fontId="4" fillId="0" borderId="6" xfId="0" applyFont="1" applyBorder="1" applyAlignment="1">
      <alignment horizontal="right"/>
    </xf>
    <xf numFmtId="0" fontId="4" fillId="0" borderId="6" xfId="0" applyFont="1" applyBorder="1"/>
    <xf numFmtId="0" fontId="4" fillId="15" borderId="1" xfId="0" applyFont="1" applyFill="1" applyBorder="1"/>
    <xf numFmtId="14" fontId="4" fillId="15" borderId="1" xfId="0" applyNumberFormat="1" applyFont="1" applyFill="1" applyBorder="1" applyAlignment="1">
      <alignment horizontal="right"/>
    </xf>
    <xf numFmtId="14" fontId="4" fillId="15" borderId="1" xfId="0" applyNumberFormat="1" applyFont="1" applyFill="1" applyBorder="1"/>
    <xf numFmtId="0" fontId="0" fillId="15" borderId="0" xfId="0" applyFill="1" applyAlignment="1">
      <alignment wrapText="1"/>
    </xf>
    <xf numFmtId="0" fontId="10" fillId="0" borderId="0" xfId="0" applyFont="1" applyAlignment="1">
      <alignment wrapText="1"/>
    </xf>
    <xf numFmtId="0" fontId="0" fillId="16" borderId="0" xfId="0" applyFill="1"/>
    <xf numFmtId="0" fontId="0" fillId="16" borderId="0" xfId="0" applyFill="1" applyAlignment="1">
      <alignment wrapText="1"/>
    </xf>
    <xf numFmtId="0" fontId="7" fillId="16" borderId="0" xfId="0" applyFont="1" applyFill="1"/>
    <xf numFmtId="0" fontId="5" fillId="5" borderId="3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14" borderId="1" xfId="0" applyFont="1" applyFill="1" applyBorder="1" applyAlignment="1">
      <alignment wrapText="1"/>
    </xf>
    <xf numFmtId="0" fontId="4" fillId="3" borderId="1" xfId="0" applyFont="1" applyFill="1" applyBorder="1"/>
    <xf numFmtId="0" fontId="4" fillId="7" borderId="1" xfId="0" applyFont="1" applyFill="1" applyBorder="1"/>
    <xf numFmtId="0" fontId="4" fillId="17" borderId="1" xfId="0" applyFont="1" applyFill="1" applyBorder="1"/>
    <xf numFmtId="0" fontId="7" fillId="0" borderId="0" xfId="0" applyFont="1" applyAlignment="1">
      <alignment wrapText="1"/>
    </xf>
    <xf numFmtId="0" fontId="4" fillId="2" borderId="1" xfId="0" applyFont="1" applyFill="1" applyBorder="1"/>
    <xf numFmtId="0" fontId="5" fillId="0" borderId="3" xfId="0" applyFont="1" applyFill="1" applyBorder="1"/>
    <xf numFmtId="0" fontId="0" fillId="0" borderId="0" xfId="0" applyFill="1" applyAlignment="1">
      <alignment horizontal="left"/>
    </xf>
    <xf numFmtId="0" fontId="0" fillId="0" borderId="0" xfId="0" applyFill="1"/>
    <xf numFmtId="0" fontId="4" fillId="0" borderId="1" xfId="0" applyFont="1" applyFill="1" applyBorder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NumberFormat="1"/>
  </cellXfs>
  <cellStyles count="8">
    <cellStyle name="Hyperlink" xfId="7" builtinId="8"/>
    <cellStyle name="Normal" xfId="0" builtinId="0"/>
    <cellStyle name="Normal 2 2" xfId="1"/>
    <cellStyle name="Normal 3 2" xfId="2"/>
    <cellStyle name="Normal 4 2" xfId="3"/>
    <cellStyle name="Normal 5 2" xfId="4"/>
    <cellStyle name="Normal 6 2" xfId="5"/>
    <cellStyle name="Normal 7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0"/>
  <sheetViews>
    <sheetView tabSelected="1" topLeftCell="A99" zoomScale="85" zoomScaleNormal="85" workbookViewId="0">
      <selection activeCell="F119" sqref="F119"/>
    </sheetView>
  </sheetViews>
  <sheetFormatPr defaultRowHeight="15" x14ac:dyDescent="0.25"/>
  <cols>
    <col min="1" max="1" width="29.28515625" customWidth="1"/>
    <col min="2" max="2" width="19" customWidth="1"/>
    <col min="4" max="4" width="18.28515625" customWidth="1"/>
    <col min="6" max="6" width="52" style="2" customWidth="1"/>
    <col min="7" max="7" width="47.140625" style="2" customWidth="1"/>
    <col min="8" max="8" width="23.28515625" style="12" bestFit="1" customWidth="1"/>
    <col min="9" max="9" width="10.28515625" bestFit="1" customWidth="1"/>
    <col min="10" max="10" width="15.140625" bestFit="1" customWidth="1"/>
    <col min="11" max="11" width="8.85546875" bestFit="1" customWidth="1"/>
    <col min="15" max="15" width="34.5703125" bestFit="1" customWidth="1"/>
  </cols>
  <sheetData>
    <row r="1" spans="1:16" x14ac:dyDescent="0.25">
      <c r="A1" s="1"/>
      <c r="B1" s="1"/>
    </row>
    <row r="2" spans="1:16" x14ac:dyDescent="0.25">
      <c r="G2" s="2" t="s">
        <v>6</v>
      </c>
    </row>
    <row r="3" spans="1:16" x14ac:dyDescent="0.25">
      <c r="G3" s="3" t="s">
        <v>7</v>
      </c>
    </row>
    <row r="4" spans="1:16" x14ac:dyDescent="0.25">
      <c r="G4" s="4" t="s">
        <v>8</v>
      </c>
    </row>
    <row r="5" spans="1:16" x14ac:dyDescent="0.25">
      <c r="G5" s="7" t="s">
        <v>42</v>
      </c>
    </row>
    <row r="6" spans="1:16" x14ac:dyDescent="0.25">
      <c r="G6" s="5" t="s">
        <v>41</v>
      </c>
    </row>
    <row r="13" spans="1:16" x14ac:dyDescent="0.25">
      <c r="A13" s="1" t="s">
        <v>0</v>
      </c>
      <c r="B13" s="1"/>
    </row>
    <row r="14" spans="1:16" s="14" customFormat="1" x14ac:dyDescent="0.25">
      <c r="A14" s="14" t="s">
        <v>1</v>
      </c>
      <c r="B14" s="14" t="s">
        <v>26</v>
      </c>
      <c r="C14" s="14" t="s">
        <v>2</v>
      </c>
      <c r="D14" s="14" t="s">
        <v>3</v>
      </c>
      <c r="E14" s="14" t="s">
        <v>43</v>
      </c>
      <c r="F14" s="15" t="s">
        <v>4</v>
      </c>
      <c r="G14" s="15" t="s">
        <v>44</v>
      </c>
      <c r="H14" s="16" t="s">
        <v>5</v>
      </c>
      <c r="I14" s="14" t="s">
        <v>12</v>
      </c>
      <c r="J14" s="14" t="s">
        <v>14</v>
      </c>
      <c r="K14" s="14" t="s">
        <v>9</v>
      </c>
      <c r="L14" s="14" t="s">
        <v>10</v>
      </c>
      <c r="M14" s="14" t="s">
        <v>11</v>
      </c>
      <c r="N14" s="14" t="s">
        <v>13</v>
      </c>
      <c r="O14" s="14" t="s">
        <v>52</v>
      </c>
      <c r="P14" s="14" t="s">
        <v>53</v>
      </c>
    </row>
    <row r="15" spans="1:16" x14ac:dyDescent="0.25">
      <c r="A15" t="s">
        <v>275</v>
      </c>
      <c r="B15" t="s">
        <v>61</v>
      </c>
      <c r="C15" t="s">
        <v>276</v>
      </c>
      <c r="D15" t="s">
        <v>277</v>
      </c>
      <c r="E15" t="s">
        <v>278</v>
      </c>
      <c r="F15" s="2" t="s">
        <v>279</v>
      </c>
      <c r="G15" s="2" t="s">
        <v>279</v>
      </c>
      <c r="H15" s="12" t="s">
        <v>279</v>
      </c>
      <c r="I15">
        <v>29</v>
      </c>
      <c r="J15">
        <v>4877806</v>
      </c>
      <c r="K15">
        <v>6.0999999999999999E-2</v>
      </c>
      <c r="L15">
        <v>5.2587187514009003E-2</v>
      </c>
      <c r="M15">
        <v>1.20894063115788E-2</v>
      </c>
      <c r="N15">
        <v>1.52779253727146E-2</v>
      </c>
      <c r="O15" t="s">
        <v>443</v>
      </c>
      <c r="P15" t="s">
        <v>443</v>
      </c>
    </row>
    <row r="16" spans="1:16" x14ac:dyDescent="0.25">
      <c r="A16" t="s">
        <v>280</v>
      </c>
      <c r="B16" t="s">
        <v>61</v>
      </c>
      <c r="C16" t="s">
        <v>276</v>
      </c>
      <c r="D16" t="s">
        <v>277</v>
      </c>
      <c r="E16" t="s">
        <v>281</v>
      </c>
      <c r="F16" s="2" t="s">
        <v>279</v>
      </c>
      <c r="G16" s="2" t="s">
        <v>279</v>
      </c>
      <c r="H16" s="12" t="s">
        <v>279</v>
      </c>
      <c r="I16">
        <v>40.1</v>
      </c>
      <c r="J16">
        <v>5509835</v>
      </c>
      <c r="K16">
        <v>6.4000000000000001E-2</v>
      </c>
      <c r="L16">
        <v>5.5716640447581602E-2</v>
      </c>
      <c r="M16">
        <v>1.6079126473750101E-2</v>
      </c>
      <c r="N16">
        <v>2.3640772385162101E-2</v>
      </c>
      <c r="O16" t="s">
        <v>443</v>
      </c>
      <c r="P16" t="s">
        <v>443</v>
      </c>
    </row>
    <row r="17" spans="1:17" x14ac:dyDescent="0.25">
      <c r="A17" t="s">
        <v>282</v>
      </c>
      <c r="B17" t="s">
        <v>61</v>
      </c>
      <c r="C17" t="s">
        <v>276</v>
      </c>
      <c r="D17" t="s">
        <v>277</v>
      </c>
      <c r="E17" t="s">
        <v>281</v>
      </c>
      <c r="F17" s="2" t="s">
        <v>279</v>
      </c>
      <c r="G17" s="2" t="s">
        <v>279</v>
      </c>
      <c r="H17" s="12" t="s">
        <v>279</v>
      </c>
      <c r="I17">
        <v>41.7</v>
      </c>
      <c r="J17">
        <v>6465396</v>
      </c>
      <c r="K17">
        <v>0.06</v>
      </c>
      <c r="L17">
        <v>4.8690664486395099E-2</v>
      </c>
      <c r="M17">
        <v>1.7269037122528801E-2</v>
      </c>
      <c r="N17">
        <v>1.8022231848502601E-2</v>
      </c>
      <c r="O17" t="s">
        <v>443</v>
      </c>
      <c r="P17" t="s">
        <v>443</v>
      </c>
    </row>
    <row r="18" spans="1:17" x14ac:dyDescent="0.25">
      <c r="A18" t="s">
        <v>283</v>
      </c>
      <c r="B18" t="s">
        <v>61</v>
      </c>
      <c r="C18" t="s">
        <v>276</v>
      </c>
      <c r="D18" t="s">
        <v>284</v>
      </c>
      <c r="E18" t="s">
        <v>278</v>
      </c>
      <c r="F18" s="2" t="s">
        <v>285</v>
      </c>
      <c r="G18" s="52" t="s">
        <v>279</v>
      </c>
      <c r="H18" s="12" t="s">
        <v>449</v>
      </c>
      <c r="I18">
        <v>52.7</v>
      </c>
      <c r="J18">
        <v>5034266</v>
      </c>
      <c r="K18">
        <v>0.106</v>
      </c>
      <c r="L18">
        <v>9.8537287609272994E-2</v>
      </c>
      <c r="M18">
        <v>0.1018179737711</v>
      </c>
      <c r="N18">
        <v>4.8080283238921002E-2</v>
      </c>
      <c r="O18" t="s">
        <v>285</v>
      </c>
      <c r="P18" t="s">
        <v>443</v>
      </c>
    </row>
    <row r="19" spans="1:17" x14ac:dyDescent="0.25">
      <c r="A19" s="38" t="s">
        <v>286</v>
      </c>
      <c r="B19" s="38" t="s">
        <v>61</v>
      </c>
      <c r="C19" s="38" t="s">
        <v>287</v>
      </c>
      <c r="D19" s="38" t="s">
        <v>138</v>
      </c>
      <c r="E19" s="38" t="s">
        <v>288</v>
      </c>
      <c r="F19" s="51" t="s">
        <v>288</v>
      </c>
      <c r="G19" s="51" t="s">
        <v>288</v>
      </c>
      <c r="H19" s="39" t="s">
        <v>444</v>
      </c>
      <c r="I19" s="38">
        <v>3149.7</v>
      </c>
      <c r="J19" s="38">
        <v>163953</v>
      </c>
      <c r="K19" s="38">
        <v>0.86699999999999999</v>
      </c>
      <c r="L19" s="38">
        <v>0.75303071450110004</v>
      </c>
      <c r="M19" s="38">
        <v>0.313081668302227</v>
      </c>
      <c r="N19" s="38">
        <v>0.33399324025014299</v>
      </c>
      <c r="O19" t="s">
        <v>138</v>
      </c>
      <c r="P19" t="s">
        <v>138</v>
      </c>
    </row>
    <row r="20" spans="1:17" x14ac:dyDescent="0.25">
      <c r="A20" t="s">
        <v>289</v>
      </c>
      <c r="B20" t="s">
        <v>61</v>
      </c>
      <c r="C20" t="s">
        <v>276</v>
      </c>
      <c r="D20" t="s">
        <v>277</v>
      </c>
      <c r="E20" t="s">
        <v>278</v>
      </c>
      <c r="F20" s="2" t="s">
        <v>279</v>
      </c>
      <c r="G20" s="2" t="s">
        <v>279</v>
      </c>
      <c r="H20" s="12" t="s">
        <v>279</v>
      </c>
      <c r="I20">
        <v>39.799999999999997</v>
      </c>
      <c r="J20">
        <v>2419331</v>
      </c>
      <c r="K20">
        <v>8.5000000000000006E-2</v>
      </c>
      <c r="L20">
        <v>7.2867785354239795E-2</v>
      </c>
      <c r="M20">
        <v>2.41155594131288E-2</v>
      </c>
      <c r="N20">
        <v>2.4898403314139901E-2</v>
      </c>
      <c r="O20" t="s">
        <v>443</v>
      </c>
      <c r="P20" t="s">
        <v>443</v>
      </c>
    </row>
    <row r="21" spans="1:17" x14ac:dyDescent="0.25">
      <c r="A21" t="s">
        <v>290</v>
      </c>
      <c r="B21" t="s">
        <v>61</v>
      </c>
      <c r="C21" t="s">
        <v>276</v>
      </c>
      <c r="D21" t="s">
        <v>277</v>
      </c>
      <c r="E21" t="s">
        <v>278</v>
      </c>
      <c r="F21" s="2" t="s">
        <v>279</v>
      </c>
      <c r="G21" s="2" t="s">
        <v>279</v>
      </c>
      <c r="H21" s="12" t="s">
        <v>279</v>
      </c>
      <c r="I21">
        <v>60.2</v>
      </c>
      <c r="J21">
        <v>2442094</v>
      </c>
      <c r="K21">
        <v>0.104</v>
      </c>
      <c r="L21">
        <v>9.8702777578418499E-2</v>
      </c>
      <c r="M21">
        <v>0.118224105504323</v>
      </c>
      <c r="N21">
        <v>9.2577414934856106E-2</v>
      </c>
      <c r="O21" t="s">
        <v>443</v>
      </c>
      <c r="P21" t="s">
        <v>443</v>
      </c>
    </row>
    <row r="22" spans="1:17" x14ac:dyDescent="0.25">
      <c r="A22" t="s">
        <v>291</v>
      </c>
      <c r="B22" t="s">
        <v>61</v>
      </c>
      <c r="C22" t="s">
        <v>276</v>
      </c>
      <c r="D22" t="s">
        <v>277</v>
      </c>
      <c r="E22" t="s">
        <v>278</v>
      </c>
      <c r="F22" s="2" t="s">
        <v>279</v>
      </c>
      <c r="G22" s="2" t="s">
        <v>279</v>
      </c>
      <c r="H22" s="12" t="s">
        <v>279</v>
      </c>
      <c r="I22">
        <v>47.8</v>
      </c>
      <c r="J22">
        <v>2848545</v>
      </c>
      <c r="K22">
        <v>0.105</v>
      </c>
      <c r="L22">
        <v>9.9522249525856102E-2</v>
      </c>
      <c r="M22">
        <v>9.91393186531591E-2</v>
      </c>
      <c r="N22">
        <v>6.1944516221123E-2</v>
      </c>
      <c r="O22" t="s">
        <v>443</v>
      </c>
      <c r="P22" t="s">
        <v>443</v>
      </c>
    </row>
    <row r="23" spans="1:17" x14ac:dyDescent="0.25">
      <c r="A23" t="s">
        <v>292</v>
      </c>
      <c r="B23" t="s">
        <v>61</v>
      </c>
      <c r="C23" t="s">
        <v>276</v>
      </c>
      <c r="D23" t="s">
        <v>277</v>
      </c>
      <c r="E23" t="s">
        <v>278</v>
      </c>
      <c r="F23" s="2" t="s">
        <v>279</v>
      </c>
      <c r="G23" s="2" t="s">
        <v>279</v>
      </c>
      <c r="H23" s="12" t="s">
        <v>279</v>
      </c>
      <c r="I23">
        <v>40.9</v>
      </c>
      <c r="J23">
        <v>2260559</v>
      </c>
      <c r="K23">
        <v>0.10299999999999999</v>
      </c>
      <c r="L23">
        <v>8.6943943392885095E-2</v>
      </c>
      <c r="M23">
        <v>5.6587706594467997E-2</v>
      </c>
      <c r="N23">
        <v>4.8750576110077902E-2</v>
      </c>
      <c r="O23" t="s">
        <v>443</v>
      </c>
      <c r="P23" t="s">
        <v>443</v>
      </c>
    </row>
    <row r="24" spans="1:17" x14ac:dyDescent="0.25">
      <c r="A24" t="s">
        <v>293</v>
      </c>
      <c r="B24" t="s">
        <v>61</v>
      </c>
      <c r="C24" t="s">
        <v>276</v>
      </c>
      <c r="D24" t="s">
        <v>284</v>
      </c>
      <c r="E24" t="s">
        <v>278</v>
      </c>
      <c r="F24" s="2" t="s">
        <v>294</v>
      </c>
      <c r="G24" s="52" t="s">
        <v>279</v>
      </c>
      <c r="H24" s="12" t="s">
        <v>450</v>
      </c>
      <c r="I24">
        <v>50.3</v>
      </c>
      <c r="J24">
        <v>2069394</v>
      </c>
      <c r="K24">
        <v>9.8000000000000004E-2</v>
      </c>
      <c r="L24">
        <v>8.8392521152598005E-2</v>
      </c>
      <c r="M24">
        <v>8.0277923404616897E-2</v>
      </c>
      <c r="N24">
        <v>7.26684632145677E-2</v>
      </c>
      <c r="O24" t="s">
        <v>294</v>
      </c>
      <c r="P24" t="s">
        <v>443</v>
      </c>
    </row>
    <row r="25" spans="1:17" x14ac:dyDescent="0.25">
      <c r="A25" t="s">
        <v>295</v>
      </c>
      <c r="B25" t="s">
        <v>61</v>
      </c>
      <c r="C25" t="s">
        <v>276</v>
      </c>
      <c r="D25" t="s">
        <v>277</v>
      </c>
      <c r="E25" t="s">
        <v>278</v>
      </c>
      <c r="F25" s="2" t="s">
        <v>279</v>
      </c>
      <c r="G25" s="2" t="s">
        <v>279</v>
      </c>
      <c r="H25" s="12" t="s">
        <v>279</v>
      </c>
      <c r="I25">
        <v>31.8</v>
      </c>
      <c r="J25">
        <v>3093052</v>
      </c>
      <c r="K25">
        <v>8.1000000000000003E-2</v>
      </c>
      <c r="L25">
        <v>7.0402032750675594E-2</v>
      </c>
      <c r="M25">
        <v>3.2172450099080797E-2</v>
      </c>
      <c r="N25">
        <v>2.7344203510218101E-2</v>
      </c>
      <c r="O25" t="s">
        <v>443</v>
      </c>
      <c r="P25" t="s">
        <v>443</v>
      </c>
    </row>
    <row r="26" spans="1:17" x14ac:dyDescent="0.25">
      <c r="A26" t="s">
        <v>296</v>
      </c>
      <c r="B26" t="s">
        <v>61</v>
      </c>
      <c r="C26" t="s">
        <v>276</v>
      </c>
      <c r="D26" t="s">
        <v>297</v>
      </c>
      <c r="E26" t="s">
        <v>278</v>
      </c>
      <c r="F26" s="52" t="s">
        <v>298</v>
      </c>
      <c r="G26" s="2" t="s">
        <v>298</v>
      </c>
      <c r="H26" s="12" t="s">
        <v>467</v>
      </c>
      <c r="I26">
        <v>29.8</v>
      </c>
      <c r="J26">
        <v>5680156</v>
      </c>
      <c r="K26">
        <v>5.1999999999999998E-2</v>
      </c>
      <c r="L26">
        <v>4.6729446193217401E-2</v>
      </c>
      <c r="M26">
        <v>1.55035529220501E-2</v>
      </c>
      <c r="N26">
        <v>1.46661540866223E-2</v>
      </c>
      <c r="O26" s="2" t="s">
        <v>298</v>
      </c>
      <c r="P26" t="s">
        <v>443</v>
      </c>
    </row>
    <row r="27" spans="1:17" x14ac:dyDescent="0.25">
      <c r="A27" t="s">
        <v>299</v>
      </c>
      <c r="B27" t="s">
        <v>61</v>
      </c>
      <c r="C27" t="s">
        <v>276</v>
      </c>
      <c r="D27" t="s">
        <v>277</v>
      </c>
      <c r="E27" t="s">
        <v>278</v>
      </c>
      <c r="F27" s="2" t="s">
        <v>279</v>
      </c>
      <c r="G27" s="2" t="s">
        <v>279</v>
      </c>
      <c r="H27" s="12" t="s">
        <v>279</v>
      </c>
      <c r="I27">
        <v>30.3</v>
      </c>
      <c r="J27">
        <v>5612215</v>
      </c>
      <c r="K27">
        <v>5.5E-2</v>
      </c>
      <c r="L27">
        <v>4.8166249613445601E-2</v>
      </c>
      <c r="M27">
        <v>7.9614434920207092E-3</v>
      </c>
      <c r="N27">
        <v>1.2197651332716599E-2</v>
      </c>
      <c r="O27" t="s">
        <v>443</v>
      </c>
      <c r="P27" t="s">
        <v>443</v>
      </c>
    </row>
    <row r="28" spans="1:17" x14ac:dyDescent="0.25">
      <c r="A28" t="s">
        <v>300</v>
      </c>
      <c r="B28" t="s">
        <v>61</v>
      </c>
      <c r="C28" t="s">
        <v>276</v>
      </c>
      <c r="D28" t="s">
        <v>277</v>
      </c>
      <c r="E28" t="s">
        <v>281</v>
      </c>
      <c r="F28" s="2" t="s">
        <v>279</v>
      </c>
      <c r="G28" s="2" t="s">
        <v>279</v>
      </c>
      <c r="H28" s="12" t="s">
        <v>279</v>
      </c>
      <c r="I28">
        <v>41</v>
      </c>
      <c r="J28">
        <v>6170020</v>
      </c>
      <c r="K28">
        <v>7.1999999999999995E-2</v>
      </c>
      <c r="L28">
        <v>6.3355456829235199E-2</v>
      </c>
      <c r="M28">
        <v>1.7942564737521399E-2</v>
      </c>
      <c r="N28">
        <v>1.4163596575140099E-2</v>
      </c>
      <c r="O28" t="s">
        <v>443</v>
      </c>
      <c r="P28" t="s">
        <v>443</v>
      </c>
    </row>
    <row r="29" spans="1:17" x14ac:dyDescent="0.25">
      <c r="A29" t="s">
        <v>301</v>
      </c>
      <c r="B29" t="s">
        <v>61</v>
      </c>
      <c r="C29" t="s">
        <v>276</v>
      </c>
      <c r="D29" t="s">
        <v>277</v>
      </c>
      <c r="E29" t="s">
        <v>278</v>
      </c>
      <c r="F29" s="2" t="s">
        <v>279</v>
      </c>
      <c r="G29" s="2" t="s">
        <v>279</v>
      </c>
      <c r="H29" s="12" t="s">
        <v>279</v>
      </c>
      <c r="I29">
        <v>31.4</v>
      </c>
      <c r="J29">
        <v>5238634</v>
      </c>
      <c r="K29">
        <v>5.5E-2</v>
      </c>
      <c r="L29">
        <v>4.4464363696430101E-2</v>
      </c>
      <c r="M29">
        <v>1.4372100716890299E-2</v>
      </c>
      <c r="N29">
        <v>1.52221695693581E-2</v>
      </c>
      <c r="O29" t="s">
        <v>443</v>
      </c>
      <c r="P29" t="s">
        <v>443</v>
      </c>
    </row>
    <row r="30" spans="1:17" x14ac:dyDescent="0.25">
      <c r="A30" t="s">
        <v>302</v>
      </c>
      <c r="B30" t="s">
        <v>61</v>
      </c>
      <c r="C30" t="s">
        <v>276</v>
      </c>
      <c r="D30" t="s">
        <v>284</v>
      </c>
      <c r="E30" t="s">
        <v>281</v>
      </c>
      <c r="F30" s="2" t="s">
        <v>303</v>
      </c>
      <c r="G30" s="52" t="s">
        <v>279</v>
      </c>
      <c r="H30" s="12" t="s">
        <v>451</v>
      </c>
      <c r="I30">
        <v>36</v>
      </c>
      <c r="J30">
        <v>4793361</v>
      </c>
      <c r="K30">
        <v>7.8E-2</v>
      </c>
      <c r="L30">
        <v>6.2984259177019594E-2</v>
      </c>
      <c r="M30">
        <v>3.3510530996014802E-2</v>
      </c>
      <c r="N30">
        <v>2.7244747231788699E-2</v>
      </c>
      <c r="O30" t="s">
        <v>303</v>
      </c>
      <c r="P30" t="s">
        <v>443</v>
      </c>
    </row>
    <row r="31" spans="1:17" s="53" customFormat="1" x14ac:dyDescent="0.25">
      <c r="A31" s="53" t="s">
        <v>304</v>
      </c>
      <c r="B31" s="53" t="s">
        <v>61</v>
      </c>
      <c r="C31" s="53" t="s">
        <v>287</v>
      </c>
      <c r="D31" s="53" t="s">
        <v>138</v>
      </c>
      <c r="E31" s="53" t="s">
        <v>288</v>
      </c>
      <c r="F31" s="54" t="s">
        <v>288</v>
      </c>
      <c r="G31" s="54" t="s">
        <v>288</v>
      </c>
      <c r="H31" s="55" t="s">
        <v>445</v>
      </c>
      <c r="I31" s="53">
        <v>0</v>
      </c>
      <c r="J31" s="53">
        <v>12</v>
      </c>
      <c r="K31" s="53">
        <v>2</v>
      </c>
      <c r="L31" s="53">
        <v>2</v>
      </c>
      <c r="M31" s="53">
        <v>1.9004146933577599</v>
      </c>
      <c r="N31" s="53">
        <v>2</v>
      </c>
      <c r="Q31" s="53" t="s">
        <v>557</v>
      </c>
    </row>
    <row r="32" spans="1:17" x14ac:dyDescent="0.25">
      <c r="A32" t="s">
        <v>305</v>
      </c>
      <c r="B32" t="s">
        <v>61</v>
      </c>
      <c r="C32" t="s">
        <v>276</v>
      </c>
      <c r="D32" t="s">
        <v>284</v>
      </c>
      <c r="E32" t="s">
        <v>278</v>
      </c>
      <c r="F32" s="2" t="s">
        <v>306</v>
      </c>
      <c r="G32" s="52" t="s">
        <v>279</v>
      </c>
      <c r="H32" s="12" t="s">
        <v>452</v>
      </c>
      <c r="I32">
        <v>23.8</v>
      </c>
      <c r="J32">
        <v>5584005</v>
      </c>
      <c r="K32">
        <v>5.2999999999999999E-2</v>
      </c>
      <c r="L32">
        <v>4.3908145259199102E-2</v>
      </c>
      <c r="M32">
        <v>1.4762424582941599E-2</v>
      </c>
      <c r="N32">
        <v>1.22418317403551E-2</v>
      </c>
      <c r="O32" t="s">
        <v>306</v>
      </c>
      <c r="P32" t="s">
        <v>443</v>
      </c>
    </row>
    <row r="33" spans="1:16" ht="45" x14ac:dyDescent="0.25">
      <c r="A33" t="s">
        <v>307</v>
      </c>
      <c r="B33" t="s">
        <v>61</v>
      </c>
      <c r="C33" t="s">
        <v>276</v>
      </c>
      <c r="D33" t="s">
        <v>297</v>
      </c>
      <c r="E33" t="s">
        <v>308</v>
      </c>
      <c r="F33" s="52" t="s">
        <v>309</v>
      </c>
      <c r="G33" s="2" t="s">
        <v>427</v>
      </c>
      <c r="H33" s="12" t="s">
        <v>468</v>
      </c>
      <c r="I33">
        <v>81.900000000000006</v>
      </c>
      <c r="J33">
        <v>2925921</v>
      </c>
      <c r="K33">
        <v>0.129</v>
      </c>
      <c r="L33">
        <v>0.108543542470162</v>
      </c>
      <c r="M33">
        <v>0.38264883472129202</v>
      </c>
      <c r="N33">
        <v>0.37726890482887199</v>
      </c>
      <c r="O33" s="40" t="s">
        <v>469</v>
      </c>
      <c r="P33" t="s">
        <v>443</v>
      </c>
    </row>
    <row r="34" spans="1:16" x14ac:dyDescent="0.25">
      <c r="A34" t="s">
        <v>310</v>
      </c>
      <c r="B34" t="s">
        <v>61</v>
      </c>
      <c r="C34" t="s">
        <v>276</v>
      </c>
      <c r="D34" t="s">
        <v>277</v>
      </c>
      <c r="E34" t="s">
        <v>281</v>
      </c>
      <c r="F34" s="2" t="s">
        <v>279</v>
      </c>
      <c r="G34" s="2" t="s">
        <v>279</v>
      </c>
      <c r="H34" s="12" t="s">
        <v>279</v>
      </c>
      <c r="I34">
        <v>32.9</v>
      </c>
      <c r="J34">
        <v>5306608</v>
      </c>
      <c r="K34">
        <v>7.0000000000000007E-2</v>
      </c>
      <c r="L34">
        <v>6.2512266915757994E-2</v>
      </c>
      <c r="M34">
        <v>1.9122193737180701E-2</v>
      </c>
      <c r="N34">
        <v>1.91074670355291E-2</v>
      </c>
      <c r="O34" t="s">
        <v>443</v>
      </c>
      <c r="P34" t="s">
        <v>443</v>
      </c>
    </row>
    <row r="35" spans="1:16" x14ac:dyDescent="0.25">
      <c r="A35" t="s">
        <v>311</v>
      </c>
      <c r="B35" t="s">
        <v>61</v>
      </c>
      <c r="C35" t="s">
        <v>276</v>
      </c>
      <c r="D35" t="s">
        <v>277</v>
      </c>
      <c r="E35" t="s">
        <v>281</v>
      </c>
      <c r="F35" s="2" t="s">
        <v>279</v>
      </c>
      <c r="G35" s="2" t="s">
        <v>279</v>
      </c>
      <c r="H35" s="12" t="s">
        <v>279</v>
      </c>
      <c r="I35">
        <v>25.6</v>
      </c>
      <c r="J35">
        <v>5749022</v>
      </c>
      <c r="K35">
        <v>0.06</v>
      </c>
      <c r="L35">
        <v>5.0459656057420497E-2</v>
      </c>
      <c r="M35">
        <v>1.80066945266362E-2</v>
      </c>
      <c r="N35">
        <v>1.9220024587147801E-2</v>
      </c>
      <c r="O35" t="s">
        <v>443</v>
      </c>
      <c r="P35" t="s">
        <v>443</v>
      </c>
    </row>
    <row r="36" spans="1:16" x14ac:dyDescent="0.25">
      <c r="A36" t="s">
        <v>312</v>
      </c>
      <c r="B36" t="s">
        <v>61</v>
      </c>
      <c r="C36" t="s">
        <v>276</v>
      </c>
      <c r="D36" t="s">
        <v>277</v>
      </c>
      <c r="E36" t="s">
        <v>278</v>
      </c>
      <c r="F36" s="2" t="s">
        <v>279</v>
      </c>
      <c r="G36" s="2" t="s">
        <v>279</v>
      </c>
      <c r="H36" s="12" t="s">
        <v>279</v>
      </c>
      <c r="I36">
        <v>50.2</v>
      </c>
      <c r="J36">
        <v>4131727</v>
      </c>
      <c r="K36">
        <v>8.8999999999999996E-2</v>
      </c>
      <c r="L36">
        <v>8.7851728836675497E-2</v>
      </c>
      <c r="M36">
        <v>0.102000135003672</v>
      </c>
      <c r="N36">
        <v>6.3966817709284501E-2</v>
      </c>
      <c r="O36" t="s">
        <v>443</v>
      </c>
      <c r="P36" t="s">
        <v>443</v>
      </c>
    </row>
    <row r="37" spans="1:16" x14ac:dyDescent="0.25">
      <c r="A37" t="s">
        <v>313</v>
      </c>
      <c r="B37" t="s">
        <v>61</v>
      </c>
      <c r="C37" t="s">
        <v>276</v>
      </c>
      <c r="D37" t="s">
        <v>297</v>
      </c>
      <c r="E37" t="s">
        <v>281</v>
      </c>
      <c r="F37" s="52" t="s">
        <v>314</v>
      </c>
      <c r="G37" s="2" t="s">
        <v>428</v>
      </c>
      <c r="H37" s="12" t="s">
        <v>470</v>
      </c>
      <c r="I37">
        <v>38.299999999999997</v>
      </c>
      <c r="J37">
        <v>4380289</v>
      </c>
      <c r="K37">
        <v>7.2999999999999995E-2</v>
      </c>
      <c r="L37">
        <v>6.4828570008362299E-2</v>
      </c>
      <c r="M37">
        <v>9.4494416288460906E-2</v>
      </c>
      <c r="N37">
        <v>9.4826885233227201E-2</v>
      </c>
      <c r="O37" s="2" t="s">
        <v>428</v>
      </c>
      <c r="P37" t="s">
        <v>443</v>
      </c>
    </row>
    <row r="38" spans="1:16" x14ac:dyDescent="0.25">
      <c r="A38" t="s">
        <v>315</v>
      </c>
      <c r="B38" t="s">
        <v>61</v>
      </c>
      <c r="C38" t="s">
        <v>276</v>
      </c>
      <c r="D38" t="s">
        <v>277</v>
      </c>
      <c r="E38" t="s">
        <v>278</v>
      </c>
      <c r="F38" s="2" t="s">
        <v>279</v>
      </c>
      <c r="G38" s="2" t="s">
        <v>279</v>
      </c>
      <c r="H38" s="12" t="s">
        <v>279</v>
      </c>
      <c r="I38">
        <v>59.3</v>
      </c>
      <c r="J38">
        <v>4071059</v>
      </c>
      <c r="K38">
        <v>7.8E-2</v>
      </c>
      <c r="L38">
        <v>6.3535262949825505E-2</v>
      </c>
      <c r="M38">
        <v>1.0663808561025501E-2</v>
      </c>
      <c r="N38">
        <v>1.39452099876006E-2</v>
      </c>
      <c r="O38" t="s">
        <v>443</v>
      </c>
      <c r="P38" t="s">
        <v>443</v>
      </c>
    </row>
    <row r="39" spans="1:16" x14ac:dyDescent="0.25">
      <c r="A39" t="s">
        <v>316</v>
      </c>
      <c r="B39" t="s">
        <v>61</v>
      </c>
      <c r="C39" t="s">
        <v>276</v>
      </c>
      <c r="D39" t="s">
        <v>297</v>
      </c>
      <c r="E39" t="s">
        <v>281</v>
      </c>
      <c r="F39" s="52" t="s">
        <v>317</v>
      </c>
      <c r="G39" s="2" t="s">
        <v>317</v>
      </c>
      <c r="H39" s="12" t="s">
        <v>471</v>
      </c>
      <c r="I39">
        <v>30.9</v>
      </c>
      <c r="J39">
        <v>4168222</v>
      </c>
      <c r="K39">
        <v>9.4E-2</v>
      </c>
      <c r="L39">
        <v>8.8017251184635104E-2</v>
      </c>
      <c r="M39">
        <v>8.8778223183775706E-2</v>
      </c>
      <c r="N39">
        <v>6.2640431286366899E-2</v>
      </c>
      <c r="O39" s="2" t="s">
        <v>317</v>
      </c>
      <c r="P39" t="s">
        <v>443</v>
      </c>
    </row>
    <row r="40" spans="1:16" x14ac:dyDescent="0.25">
      <c r="A40" t="s">
        <v>318</v>
      </c>
      <c r="B40" t="s">
        <v>61</v>
      </c>
      <c r="C40" t="s">
        <v>276</v>
      </c>
      <c r="D40" t="s">
        <v>297</v>
      </c>
      <c r="E40" t="s">
        <v>281</v>
      </c>
      <c r="F40" s="52" t="s">
        <v>319</v>
      </c>
      <c r="G40" s="2" t="s">
        <v>319</v>
      </c>
      <c r="H40" s="12" t="s">
        <v>472</v>
      </c>
      <c r="I40">
        <v>47.7</v>
      </c>
      <c r="J40">
        <v>3001373</v>
      </c>
      <c r="K40">
        <v>9.6000000000000002E-2</v>
      </c>
      <c r="L40">
        <v>7.9758269425719105E-2</v>
      </c>
      <c r="M40">
        <v>2.68644444280247E-2</v>
      </c>
      <c r="N40">
        <v>2.58112211377503E-2</v>
      </c>
      <c r="O40" s="2" t="s">
        <v>319</v>
      </c>
      <c r="P40" t="s">
        <v>443</v>
      </c>
    </row>
    <row r="41" spans="1:16" x14ac:dyDescent="0.25">
      <c r="A41" t="s">
        <v>320</v>
      </c>
      <c r="B41" t="s">
        <v>61</v>
      </c>
      <c r="C41" t="s">
        <v>276</v>
      </c>
      <c r="D41" t="s">
        <v>284</v>
      </c>
      <c r="E41" t="s">
        <v>321</v>
      </c>
      <c r="F41" s="2" t="s">
        <v>322</v>
      </c>
      <c r="G41" s="52" t="s">
        <v>279</v>
      </c>
      <c r="H41" s="12" t="s">
        <v>453</v>
      </c>
      <c r="I41">
        <v>28.6</v>
      </c>
      <c r="J41">
        <v>6582422</v>
      </c>
      <c r="K41">
        <v>5.5E-2</v>
      </c>
      <c r="L41">
        <v>5.1514186135769698E-2</v>
      </c>
      <c r="M41">
        <v>2.4093592488010001E-2</v>
      </c>
      <c r="N41">
        <v>1.9261809933049899E-2</v>
      </c>
      <c r="O41" t="s">
        <v>443</v>
      </c>
      <c r="P41" t="s">
        <v>462</v>
      </c>
    </row>
    <row r="42" spans="1:16" x14ac:dyDescent="0.25">
      <c r="A42" t="s">
        <v>323</v>
      </c>
      <c r="B42" t="s">
        <v>61</v>
      </c>
      <c r="C42" t="s">
        <v>276</v>
      </c>
      <c r="D42" t="s">
        <v>277</v>
      </c>
      <c r="E42" t="s">
        <v>281</v>
      </c>
      <c r="F42" s="2" t="s">
        <v>279</v>
      </c>
      <c r="G42" s="2" t="s">
        <v>279</v>
      </c>
      <c r="H42" s="12" t="s">
        <v>279</v>
      </c>
      <c r="I42">
        <v>27.4</v>
      </c>
      <c r="J42">
        <v>6461866</v>
      </c>
      <c r="K42">
        <v>5.2999999999999999E-2</v>
      </c>
      <c r="L42">
        <v>4.1854283202594003E-2</v>
      </c>
      <c r="M42">
        <v>1.8448984334195302E-2</v>
      </c>
      <c r="N42">
        <v>1.6584634603723399E-2</v>
      </c>
      <c r="O42" t="s">
        <v>443</v>
      </c>
      <c r="P42" t="s">
        <v>443</v>
      </c>
    </row>
    <row r="43" spans="1:16" x14ac:dyDescent="0.25">
      <c r="A43" s="38" t="s">
        <v>324</v>
      </c>
      <c r="B43" s="38" t="s">
        <v>126</v>
      </c>
      <c r="C43" s="38" t="s">
        <v>287</v>
      </c>
      <c r="D43" s="38" t="s">
        <v>138</v>
      </c>
      <c r="E43" s="38" t="s">
        <v>288</v>
      </c>
      <c r="F43" s="51" t="s">
        <v>288</v>
      </c>
      <c r="G43" s="51" t="s">
        <v>288</v>
      </c>
      <c r="H43" s="39" t="s">
        <v>444</v>
      </c>
      <c r="I43" s="38">
        <v>31.3</v>
      </c>
      <c r="J43" s="38">
        <v>166707</v>
      </c>
      <c r="K43" s="38">
        <v>0.41</v>
      </c>
      <c r="L43" s="38">
        <v>0.30190252624140801</v>
      </c>
      <c r="M43" s="38">
        <v>0.13527836833585999</v>
      </c>
      <c r="N43" s="38">
        <v>7.3449479160438397E-2</v>
      </c>
      <c r="O43" t="s">
        <v>138</v>
      </c>
      <c r="P43" t="s">
        <v>138</v>
      </c>
    </row>
    <row r="44" spans="1:16" x14ac:dyDescent="0.25">
      <c r="A44" t="s">
        <v>325</v>
      </c>
      <c r="B44" s="37" t="s">
        <v>126</v>
      </c>
      <c r="C44" t="s">
        <v>276</v>
      </c>
      <c r="D44" t="s">
        <v>284</v>
      </c>
      <c r="E44" t="s">
        <v>281</v>
      </c>
      <c r="F44" s="52" t="s">
        <v>326</v>
      </c>
      <c r="G44" s="64" t="s">
        <v>429</v>
      </c>
      <c r="H44" s="12" t="s">
        <v>553</v>
      </c>
      <c r="I44">
        <v>31.1</v>
      </c>
      <c r="J44">
        <v>3692001</v>
      </c>
      <c r="K44">
        <v>7.3999999999999996E-2</v>
      </c>
      <c r="L44">
        <v>6.2120077819518303E-2</v>
      </c>
      <c r="M44">
        <v>3.9858085019301402E-2</v>
      </c>
      <c r="N44">
        <v>3.6043844042462699E-2</v>
      </c>
      <c r="O44" s="64" t="s">
        <v>429</v>
      </c>
      <c r="P44" t="s">
        <v>443</v>
      </c>
    </row>
    <row r="45" spans="1:16" x14ac:dyDescent="0.25">
      <c r="A45" t="s">
        <v>327</v>
      </c>
      <c r="B45" t="s">
        <v>61</v>
      </c>
      <c r="C45" t="s">
        <v>276</v>
      </c>
      <c r="D45" t="s">
        <v>277</v>
      </c>
      <c r="E45" t="s">
        <v>281</v>
      </c>
      <c r="F45" s="2" t="s">
        <v>279</v>
      </c>
      <c r="G45" s="2" t="s">
        <v>279</v>
      </c>
      <c r="H45" s="12" t="s">
        <v>279</v>
      </c>
      <c r="I45">
        <v>49.5</v>
      </c>
      <c r="J45">
        <v>5639179</v>
      </c>
      <c r="K45">
        <v>5.8000000000000003E-2</v>
      </c>
      <c r="L45">
        <v>5.1297004478964299E-2</v>
      </c>
      <c r="M45">
        <v>2.75670093807487E-2</v>
      </c>
      <c r="N45">
        <v>2.1068518000637099E-2</v>
      </c>
      <c r="O45" t="s">
        <v>443</v>
      </c>
      <c r="P45" t="s">
        <v>443</v>
      </c>
    </row>
    <row r="46" spans="1:16" ht="30" x14ac:dyDescent="0.25">
      <c r="A46" t="s">
        <v>328</v>
      </c>
      <c r="B46" t="s">
        <v>61</v>
      </c>
      <c r="C46" t="s">
        <v>276</v>
      </c>
      <c r="D46" t="s">
        <v>284</v>
      </c>
      <c r="E46" t="s">
        <v>278</v>
      </c>
      <c r="F46" s="2" t="s">
        <v>329</v>
      </c>
      <c r="G46" s="52" t="s">
        <v>430</v>
      </c>
      <c r="H46" s="12" t="s">
        <v>454</v>
      </c>
      <c r="I46">
        <v>67.900000000000006</v>
      </c>
      <c r="J46">
        <v>3179596</v>
      </c>
      <c r="K46">
        <v>9.8000000000000004E-2</v>
      </c>
      <c r="L46">
        <v>0.10121970966592</v>
      </c>
      <c r="M46">
        <v>8.7197579022180893E-2</v>
      </c>
      <c r="N46">
        <v>7.7983904339832003E-2</v>
      </c>
      <c r="O46" s="2" t="s">
        <v>329</v>
      </c>
      <c r="P46" t="s">
        <v>443</v>
      </c>
    </row>
    <row r="47" spans="1:16" x14ac:dyDescent="0.25">
      <c r="A47" t="s">
        <v>330</v>
      </c>
      <c r="B47" t="s">
        <v>61</v>
      </c>
      <c r="C47" t="s">
        <v>276</v>
      </c>
      <c r="D47" t="s">
        <v>277</v>
      </c>
      <c r="E47" t="s">
        <v>281</v>
      </c>
      <c r="F47" s="2" t="s">
        <v>279</v>
      </c>
      <c r="G47" s="2" t="s">
        <v>279</v>
      </c>
      <c r="H47" s="12" t="s">
        <v>279</v>
      </c>
      <c r="I47">
        <v>36.5</v>
      </c>
      <c r="J47">
        <v>5073714</v>
      </c>
      <c r="K47">
        <v>7.2999999999999995E-2</v>
      </c>
      <c r="L47">
        <v>6.4673816027105493E-2</v>
      </c>
      <c r="M47">
        <v>1.24508125412232E-2</v>
      </c>
      <c r="N47">
        <v>1.94414524989436E-2</v>
      </c>
      <c r="O47" t="s">
        <v>443</v>
      </c>
      <c r="P47" t="s">
        <v>443</v>
      </c>
    </row>
    <row r="48" spans="1:16" x14ac:dyDescent="0.25">
      <c r="A48" t="s">
        <v>331</v>
      </c>
      <c r="B48" t="s">
        <v>61</v>
      </c>
      <c r="C48" t="s">
        <v>276</v>
      </c>
      <c r="D48" t="s">
        <v>277</v>
      </c>
      <c r="E48" t="s">
        <v>281</v>
      </c>
      <c r="F48" s="2" t="s">
        <v>279</v>
      </c>
      <c r="G48" s="2" t="s">
        <v>279</v>
      </c>
      <c r="H48" s="12" t="s">
        <v>279</v>
      </c>
      <c r="I48">
        <v>36.6</v>
      </c>
      <c r="J48">
        <v>5488586</v>
      </c>
      <c r="K48">
        <v>6.6000000000000003E-2</v>
      </c>
      <c r="L48">
        <v>5.36867142582058E-2</v>
      </c>
      <c r="M48">
        <v>5.4322627074784698E-2</v>
      </c>
      <c r="N48">
        <v>1.9109324530395301E-2</v>
      </c>
      <c r="O48" t="s">
        <v>443</v>
      </c>
      <c r="P48" t="s">
        <v>443</v>
      </c>
    </row>
    <row r="49" spans="1:16" x14ac:dyDescent="0.25">
      <c r="A49" t="s">
        <v>332</v>
      </c>
      <c r="B49" t="s">
        <v>61</v>
      </c>
      <c r="C49" t="s">
        <v>276</v>
      </c>
      <c r="D49" t="s">
        <v>277</v>
      </c>
      <c r="E49" t="s">
        <v>281</v>
      </c>
      <c r="F49" s="2" t="s">
        <v>279</v>
      </c>
      <c r="G49" s="2" t="s">
        <v>279</v>
      </c>
      <c r="H49" s="12" t="s">
        <v>279</v>
      </c>
      <c r="I49">
        <v>28.4</v>
      </c>
      <c r="J49">
        <v>6121990</v>
      </c>
      <c r="K49">
        <v>5.8000000000000003E-2</v>
      </c>
      <c r="L49">
        <v>4.8501470062248898E-2</v>
      </c>
      <c r="M49">
        <v>1.4401011763746E-2</v>
      </c>
      <c r="N49">
        <v>1.34231679305156E-2</v>
      </c>
      <c r="O49" t="s">
        <v>443</v>
      </c>
      <c r="P49" t="s">
        <v>443</v>
      </c>
    </row>
    <row r="50" spans="1:16" x14ac:dyDescent="0.25">
      <c r="A50" t="s">
        <v>333</v>
      </c>
      <c r="B50" t="s">
        <v>61</v>
      </c>
      <c r="C50" t="s">
        <v>276</v>
      </c>
      <c r="D50" t="s">
        <v>277</v>
      </c>
      <c r="E50" t="s">
        <v>281</v>
      </c>
      <c r="F50" s="2" t="s">
        <v>279</v>
      </c>
      <c r="G50" s="2" t="s">
        <v>279</v>
      </c>
      <c r="H50" s="12" t="s">
        <v>279</v>
      </c>
      <c r="I50">
        <v>59.9</v>
      </c>
      <c r="J50">
        <v>3919762</v>
      </c>
      <c r="K50">
        <v>0.112</v>
      </c>
      <c r="L50">
        <v>8.9903299103490097E-2</v>
      </c>
      <c r="M50">
        <v>2.2084935798895301E-2</v>
      </c>
      <c r="N50">
        <v>2.6521701234803501E-2</v>
      </c>
      <c r="O50" t="s">
        <v>443</v>
      </c>
      <c r="P50" t="s">
        <v>443</v>
      </c>
    </row>
    <row r="51" spans="1:16" x14ac:dyDescent="0.25">
      <c r="A51" t="s">
        <v>334</v>
      </c>
      <c r="B51" t="s">
        <v>61</v>
      </c>
      <c r="C51" t="s">
        <v>276</v>
      </c>
      <c r="D51" t="s">
        <v>277</v>
      </c>
      <c r="E51" t="s">
        <v>281</v>
      </c>
      <c r="F51" s="2" t="s">
        <v>279</v>
      </c>
      <c r="G51" s="2" t="s">
        <v>279</v>
      </c>
      <c r="H51" s="12" t="s">
        <v>279</v>
      </c>
      <c r="I51">
        <v>31.1</v>
      </c>
      <c r="J51">
        <v>4332270</v>
      </c>
      <c r="K51">
        <v>8.2000000000000003E-2</v>
      </c>
      <c r="L51">
        <v>7.2982406990736895E-2</v>
      </c>
      <c r="M51">
        <v>2.75366039030388E-2</v>
      </c>
      <c r="N51">
        <v>2.6208656057630401E-2</v>
      </c>
      <c r="O51" t="s">
        <v>443</v>
      </c>
      <c r="P51" t="s">
        <v>443</v>
      </c>
    </row>
    <row r="52" spans="1:16" x14ac:dyDescent="0.25">
      <c r="A52" t="s">
        <v>335</v>
      </c>
      <c r="B52" t="s">
        <v>61</v>
      </c>
      <c r="C52" t="s">
        <v>276</v>
      </c>
      <c r="D52" t="s">
        <v>277</v>
      </c>
      <c r="E52" t="s">
        <v>281</v>
      </c>
      <c r="F52" s="2" t="s">
        <v>279</v>
      </c>
      <c r="G52" s="2" t="s">
        <v>279</v>
      </c>
      <c r="H52" s="12" t="s">
        <v>279</v>
      </c>
      <c r="I52">
        <v>23</v>
      </c>
      <c r="J52">
        <v>4799061</v>
      </c>
      <c r="K52">
        <v>5.7000000000000002E-2</v>
      </c>
      <c r="L52">
        <v>4.8415279156536997E-2</v>
      </c>
      <c r="M52">
        <v>4.0558006218181702E-2</v>
      </c>
      <c r="N52">
        <v>2.9832126641010499E-2</v>
      </c>
      <c r="O52" t="s">
        <v>443</v>
      </c>
      <c r="P52" t="s">
        <v>443</v>
      </c>
    </row>
    <row r="53" spans="1:16" x14ac:dyDescent="0.25">
      <c r="A53" t="s">
        <v>336</v>
      </c>
      <c r="B53" t="s">
        <v>61</v>
      </c>
      <c r="C53" t="s">
        <v>276</v>
      </c>
      <c r="D53" t="s">
        <v>297</v>
      </c>
      <c r="E53" t="s">
        <v>281</v>
      </c>
      <c r="F53" s="52" t="s">
        <v>337</v>
      </c>
      <c r="G53" s="2" t="s">
        <v>337</v>
      </c>
      <c r="H53" s="12" t="s">
        <v>446</v>
      </c>
      <c r="I53">
        <v>140.6</v>
      </c>
      <c r="J53">
        <v>352302</v>
      </c>
      <c r="K53">
        <v>0.19400000000000001</v>
      </c>
      <c r="L53">
        <v>0.141785494356123</v>
      </c>
      <c r="M53">
        <v>4.2852594911183498E-2</v>
      </c>
      <c r="N53">
        <v>3.4551271931981299E-2</v>
      </c>
      <c r="O53" t="s">
        <v>337</v>
      </c>
      <c r="P53" t="s">
        <v>443</v>
      </c>
    </row>
    <row r="54" spans="1:16" x14ac:dyDescent="0.25">
      <c r="A54" t="s">
        <v>338</v>
      </c>
      <c r="B54" t="s">
        <v>61</v>
      </c>
      <c r="C54" t="s">
        <v>276</v>
      </c>
      <c r="D54" t="s">
        <v>277</v>
      </c>
      <c r="E54" t="s">
        <v>278</v>
      </c>
      <c r="F54" s="2" t="s">
        <v>279</v>
      </c>
      <c r="G54" s="2" t="s">
        <v>279</v>
      </c>
      <c r="H54" s="12" t="s">
        <v>279</v>
      </c>
      <c r="I54">
        <v>43.2</v>
      </c>
      <c r="J54">
        <v>3250308</v>
      </c>
      <c r="K54">
        <v>5.8999999999999997E-2</v>
      </c>
      <c r="L54">
        <v>4.8347066116512002E-2</v>
      </c>
      <c r="M54">
        <v>9.8788175409307601E-3</v>
      </c>
      <c r="N54">
        <v>1.2496696134058599E-2</v>
      </c>
      <c r="O54" t="s">
        <v>443</v>
      </c>
      <c r="P54" t="s">
        <v>443</v>
      </c>
    </row>
    <row r="55" spans="1:16" x14ac:dyDescent="0.25">
      <c r="A55" t="s">
        <v>339</v>
      </c>
      <c r="B55" t="s">
        <v>61</v>
      </c>
      <c r="C55" t="s">
        <v>276</v>
      </c>
      <c r="D55" t="s">
        <v>277</v>
      </c>
      <c r="E55" t="s">
        <v>278</v>
      </c>
      <c r="F55" s="2" t="s">
        <v>279</v>
      </c>
      <c r="G55" s="2" t="s">
        <v>279</v>
      </c>
      <c r="H55" s="12" t="s">
        <v>279</v>
      </c>
      <c r="I55">
        <v>39.700000000000003</v>
      </c>
      <c r="J55">
        <v>2424575</v>
      </c>
      <c r="K55">
        <v>6.6000000000000003E-2</v>
      </c>
      <c r="L55">
        <v>5.5577371881621998E-2</v>
      </c>
      <c r="M55">
        <v>3.0486440423805699E-2</v>
      </c>
      <c r="N55">
        <v>3.09243514181121E-2</v>
      </c>
      <c r="O55" t="s">
        <v>443</v>
      </c>
      <c r="P55" t="s">
        <v>443</v>
      </c>
    </row>
    <row r="56" spans="1:16" x14ac:dyDescent="0.25">
      <c r="A56" t="s">
        <v>340</v>
      </c>
      <c r="B56" t="s">
        <v>61</v>
      </c>
      <c r="C56" t="s">
        <v>276</v>
      </c>
      <c r="D56" t="s">
        <v>277</v>
      </c>
      <c r="E56" t="s">
        <v>281</v>
      </c>
      <c r="F56" s="2" t="s">
        <v>279</v>
      </c>
      <c r="G56" s="2" t="s">
        <v>279</v>
      </c>
      <c r="H56" s="12" t="s">
        <v>279</v>
      </c>
      <c r="I56">
        <v>50.2</v>
      </c>
      <c r="J56">
        <v>3235508</v>
      </c>
      <c r="K56">
        <v>5.8000000000000003E-2</v>
      </c>
      <c r="L56">
        <v>4.44936914875705E-2</v>
      </c>
      <c r="M56">
        <v>5.7117767021394603E-3</v>
      </c>
      <c r="N56">
        <v>7.1348014892965404E-3</v>
      </c>
      <c r="O56" t="s">
        <v>443</v>
      </c>
      <c r="P56" t="s">
        <v>443</v>
      </c>
    </row>
    <row r="57" spans="1:16" x14ac:dyDescent="0.25">
      <c r="A57" t="s">
        <v>341</v>
      </c>
      <c r="B57" t="s">
        <v>61</v>
      </c>
      <c r="C57" t="s">
        <v>276</v>
      </c>
      <c r="D57" t="s">
        <v>297</v>
      </c>
      <c r="E57" t="s">
        <v>278</v>
      </c>
      <c r="F57" s="52" t="s">
        <v>342</v>
      </c>
      <c r="G57" s="2" t="s">
        <v>342</v>
      </c>
      <c r="H57" s="12" t="s">
        <v>447</v>
      </c>
      <c r="I57">
        <v>44.6</v>
      </c>
      <c r="J57">
        <v>1769983</v>
      </c>
      <c r="K57">
        <v>8.5000000000000006E-2</v>
      </c>
      <c r="L57">
        <v>6.6422224874390201E-2</v>
      </c>
      <c r="M57">
        <v>9.9091747892762708E-3</v>
      </c>
      <c r="N57">
        <v>1.1544227318664399E-2</v>
      </c>
      <c r="O57" t="s">
        <v>342</v>
      </c>
      <c r="P57" t="s">
        <v>443</v>
      </c>
    </row>
    <row r="58" spans="1:16" x14ac:dyDescent="0.25">
      <c r="A58" t="s">
        <v>343</v>
      </c>
      <c r="B58" t="s">
        <v>61</v>
      </c>
      <c r="C58" t="s">
        <v>276</v>
      </c>
      <c r="D58" t="s">
        <v>297</v>
      </c>
      <c r="E58" t="s">
        <v>278</v>
      </c>
      <c r="F58" s="52" t="s">
        <v>344</v>
      </c>
      <c r="G58" s="2" t="s">
        <v>431</v>
      </c>
      <c r="H58" s="12" t="s">
        <v>473</v>
      </c>
      <c r="I58">
        <v>40.5</v>
      </c>
      <c r="J58">
        <v>2086291</v>
      </c>
      <c r="K58">
        <v>0.156</v>
      </c>
      <c r="L58">
        <v>0.14916024235865799</v>
      </c>
      <c r="M58">
        <v>9.4199607916407802E-2</v>
      </c>
      <c r="N58">
        <v>7.95844880815057E-2</v>
      </c>
      <c r="O58" s="2" t="s">
        <v>431</v>
      </c>
      <c r="P58" t="s">
        <v>443</v>
      </c>
    </row>
    <row r="59" spans="1:16" x14ac:dyDescent="0.25">
      <c r="A59" t="s">
        <v>345</v>
      </c>
      <c r="B59" t="s">
        <v>61</v>
      </c>
      <c r="C59" t="s">
        <v>276</v>
      </c>
      <c r="D59" t="s">
        <v>277</v>
      </c>
      <c r="E59" t="s">
        <v>278</v>
      </c>
      <c r="F59" s="2" t="s">
        <v>279</v>
      </c>
      <c r="G59" s="2" t="s">
        <v>279</v>
      </c>
      <c r="H59" s="12" t="s">
        <v>279</v>
      </c>
      <c r="I59">
        <v>39.200000000000003</v>
      </c>
      <c r="J59">
        <v>3835527</v>
      </c>
      <c r="K59">
        <v>7.5999999999999998E-2</v>
      </c>
      <c r="L59">
        <v>6.6515853487565293E-2</v>
      </c>
      <c r="M59">
        <v>3.0469934562717099E-2</v>
      </c>
      <c r="N59">
        <v>3.1288499213280502E-2</v>
      </c>
      <c r="O59" t="s">
        <v>443</v>
      </c>
      <c r="P59" t="s">
        <v>443</v>
      </c>
    </row>
    <row r="60" spans="1:16" ht="75" x14ac:dyDescent="0.25">
      <c r="A60" t="s">
        <v>346</v>
      </c>
      <c r="B60" t="s">
        <v>61</v>
      </c>
      <c r="C60" t="s">
        <v>276</v>
      </c>
      <c r="D60" t="s">
        <v>297</v>
      </c>
      <c r="E60" t="s">
        <v>347</v>
      </c>
      <c r="F60" s="52" t="s">
        <v>348</v>
      </c>
      <c r="G60" s="2" t="s">
        <v>432</v>
      </c>
      <c r="H60" s="12" t="s">
        <v>468</v>
      </c>
      <c r="I60">
        <v>145.1</v>
      </c>
      <c r="J60">
        <v>2152661</v>
      </c>
      <c r="K60">
        <v>0.1</v>
      </c>
      <c r="L60">
        <v>0.100932669963837</v>
      </c>
      <c r="M60">
        <v>0.33691603565989298</v>
      </c>
      <c r="N60">
        <v>0.357154715305813</v>
      </c>
      <c r="O60" s="40" t="s">
        <v>469</v>
      </c>
      <c r="P60" t="s">
        <v>443</v>
      </c>
    </row>
    <row r="61" spans="1:16" x14ac:dyDescent="0.25">
      <c r="A61" t="s">
        <v>349</v>
      </c>
      <c r="B61" t="s">
        <v>61</v>
      </c>
      <c r="C61" t="s">
        <v>276</v>
      </c>
      <c r="D61" t="s">
        <v>277</v>
      </c>
      <c r="E61" t="s">
        <v>278</v>
      </c>
      <c r="F61" s="2" t="s">
        <v>279</v>
      </c>
      <c r="G61" s="2" t="s">
        <v>279</v>
      </c>
      <c r="H61" s="12" t="s">
        <v>279</v>
      </c>
      <c r="I61">
        <v>50.7</v>
      </c>
      <c r="J61">
        <v>3978261</v>
      </c>
      <c r="K61">
        <v>8.6999999999999994E-2</v>
      </c>
      <c r="L61">
        <v>7.3296933475534495E-2</v>
      </c>
      <c r="M61">
        <v>1.9322595714195499E-2</v>
      </c>
      <c r="N61">
        <v>2.1800773667570099E-2</v>
      </c>
      <c r="O61" t="s">
        <v>443</v>
      </c>
      <c r="P61" t="s">
        <v>443</v>
      </c>
    </row>
    <row r="62" spans="1:16" x14ac:dyDescent="0.25">
      <c r="A62" t="s">
        <v>350</v>
      </c>
      <c r="B62" t="s">
        <v>61</v>
      </c>
      <c r="C62" t="s">
        <v>276</v>
      </c>
      <c r="D62" t="s">
        <v>297</v>
      </c>
      <c r="E62" t="s">
        <v>278</v>
      </c>
      <c r="F62" s="52" t="s">
        <v>351</v>
      </c>
      <c r="G62" s="2" t="s">
        <v>433</v>
      </c>
      <c r="H62" s="12" t="s">
        <v>474</v>
      </c>
      <c r="I62">
        <v>32.5</v>
      </c>
      <c r="J62">
        <v>4163226</v>
      </c>
      <c r="K62">
        <v>0.112</v>
      </c>
      <c r="L62">
        <v>0.113242349824887</v>
      </c>
      <c r="M62">
        <v>0.15281404649565999</v>
      </c>
      <c r="N62">
        <v>0.11750642019478801</v>
      </c>
      <c r="O62" s="2" t="s">
        <v>433</v>
      </c>
      <c r="P62" t="s">
        <v>443</v>
      </c>
    </row>
    <row r="63" spans="1:16" x14ac:dyDescent="0.25">
      <c r="A63" t="s">
        <v>352</v>
      </c>
      <c r="B63" t="s">
        <v>61</v>
      </c>
      <c r="C63" t="s">
        <v>276</v>
      </c>
      <c r="D63" t="s">
        <v>277</v>
      </c>
      <c r="E63" t="s">
        <v>281</v>
      </c>
      <c r="F63" s="2" t="s">
        <v>279</v>
      </c>
      <c r="G63" s="2" t="s">
        <v>279</v>
      </c>
      <c r="H63" s="12" t="s">
        <v>279</v>
      </c>
      <c r="I63">
        <v>37.5</v>
      </c>
      <c r="J63">
        <v>5062082</v>
      </c>
      <c r="K63">
        <v>8.6999999999999994E-2</v>
      </c>
      <c r="L63">
        <v>7.4691628705565796E-2</v>
      </c>
      <c r="M63">
        <v>4.2202832848821703E-2</v>
      </c>
      <c r="N63">
        <v>4.0636224679525303E-2</v>
      </c>
      <c r="O63" t="s">
        <v>443</v>
      </c>
      <c r="P63" t="s">
        <v>443</v>
      </c>
    </row>
    <row r="64" spans="1:16" x14ac:dyDescent="0.25">
      <c r="A64" t="s">
        <v>353</v>
      </c>
      <c r="B64" t="s">
        <v>61</v>
      </c>
      <c r="C64" t="s">
        <v>276</v>
      </c>
      <c r="D64" t="s">
        <v>297</v>
      </c>
      <c r="E64" t="s">
        <v>354</v>
      </c>
      <c r="F64" s="52" t="s">
        <v>355</v>
      </c>
      <c r="G64" s="2" t="s">
        <v>355</v>
      </c>
      <c r="H64" s="12" t="s">
        <v>475</v>
      </c>
      <c r="I64">
        <v>35</v>
      </c>
      <c r="J64">
        <v>4629453</v>
      </c>
      <c r="K64">
        <v>6.2E-2</v>
      </c>
      <c r="L64">
        <v>5.2645347220261603E-2</v>
      </c>
      <c r="M64">
        <v>2.40101767665943E-2</v>
      </c>
      <c r="N64">
        <v>2.59041000971478E-2</v>
      </c>
      <c r="O64" t="s">
        <v>443</v>
      </c>
      <c r="P64" t="s">
        <v>297</v>
      </c>
    </row>
    <row r="65" spans="1:17" x14ac:dyDescent="0.25">
      <c r="A65" t="s">
        <v>356</v>
      </c>
      <c r="B65" t="s">
        <v>61</v>
      </c>
      <c r="C65" t="s">
        <v>276</v>
      </c>
      <c r="D65" t="s">
        <v>297</v>
      </c>
      <c r="E65" t="s">
        <v>278</v>
      </c>
      <c r="F65" s="52" t="s">
        <v>357</v>
      </c>
      <c r="G65" s="2" t="s">
        <v>357</v>
      </c>
      <c r="H65" s="12" t="s">
        <v>476</v>
      </c>
      <c r="I65">
        <v>42.8</v>
      </c>
      <c r="J65">
        <v>4811357</v>
      </c>
      <c r="K65">
        <v>6.7000000000000004E-2</v>
      </c>
      <c r="L65">
        <v>6.6294093439142193E-2</v>
      </c>
      <c r="M65">
        <v>9.6149253089854794E-2</v>
      </c>
      <c r="N65">
        <v>7.01558187390319E-2</v>
      </c>
      <c r="O65" s="2" t="s">
        <v>357</v>
      </c>
      <c r="P65" t="s">
        <v>443</v>
      </c>
    </row>
    <row r="66" spans="1:17" x14ac:dyDescent="0.25">
      <c r="A66" t="s">
        <v>358</v>
      </c>
      <c r="B66" t="s">
        <v>61</v>
      </c>
      <c r="C66" t="s">
        <v>276</v>
      </c>
      <c r="D66" t="s">
        <v>297</v>
      </c>
      <c r="E66" t="s">
        <v>278</v>
      </c>
      <c r="F66" s="52" t="s">
        <v>359</v>
      </c>
      <c r="G66" s="2" t="s">
        <v>359</v>
      </c>
      <c r="H66" s="12" t="s">
        <v>477</v>
      </c>
      <c r="I66">
        <v>72.3</v>
      </c>
      <c r="J66">
        <v>2277227</v>
      </c>
      <c r="K66">
        <v>0.121</v>
      </c>
      <c r="L66">
        <v>0.121910694451361</v>
      </c>
      <c r="M66">
        <v>0.109434489889804</v>
      </c>
      <c r="N66">
        <v>4.9944144533097201E-2</v>
      </c>
      <c r="O66" s="2" t="s">
        <v>359</v>
      </c>
      <c r="P66" t="s">
        <v>443</v>
      </c>
    </row>
    <row r="67" spans="1:17" x14ac:dyDescent="0.25">
      <c r="A67" t="s">
        <v>360</v>
      </c>
      <c r="B67" t="s">
        <v>61</v>
      </c>
      <c r="C67" t="s">
        <v>276</v>
      </c>
      <c r="D67" t="s">
        <v>284</v>
      </c>
      <c r="E67" t="s">
        <v>281</v>
      </c>
      <c r="F67" s="2" t="s">
        <v>361</v>
      </c>
      <c r="G67" s="52" t="s">
        <v>434</v>
      </c>
      <c r="H67" s="12" t="s">
        <v>455</v>
      </c>
      <c r="I67">
        <v>51.5</v>
      </c>
      <c r="J67">
        <v>3819800</v>
      </c>
      <c r="K67">
        <v>0.105</v>
      </c>
      <c r="L67">
        <v>0.10177141488734499</v>
      </c>
      <c r="M67">
        <v>0.105325833662647</v>
      </c>
      <c r="N67">
        <v>7.6322859643913901E-2</v>
      </c>
      <c r="O67" t="s">
        <v>361</v>
      </c>
    </row>
    <row r="68" spans="1:17" s="53" customFormat="1" x14ac:dyDescent="0.25">
      <c r="A68" s="53" t="s">
        <v>362</v>
      </c>
      <c r="B68" s="53" t="s">
        <v>61</v>
      </c>
      <c r="C68" s="53" t="s">
        <v>287</v>
      </c>
      <c r="D68" s="53" t="s">
        <v>138</v>
      </c>
      <c r="E68" s="53" t="s">
        <v>288</v>
      </c>
      <c r="F68" s="54" t="s">
        <v>288</v>
      </c>
      <c r="G68" s="54" t="s">
        <v>288</v>
      </c>
      <c r="H68" s="55" t="s">
        <v>445</v>
      </c>
      <c r="I68" s="53">
        <v>0</v>
      </c>
      <c r="J68" s="53">
        <v>63</v>
      </c>
      <c r="K68" s="53">
        <v>2</v>
      </c>
      <c r="L68" s="53">
        <v>2</v>
      </c>
      <c r="M68" s="53">
        <v>0.84262660123533695</v>
      </c>
      <c r="N68" s="53">
        <v>2</v>
      </c>
      <c r="Q68" s="53" t="s">
        <v>549</v>
      </c>
    </row>
    <row r="69" spans="1:17" x14ac:dyDescent="0.25">
      <c r="A69" t="s">
        <v>363</v>
      </c>
      <c r="B69" t="s">
        <v>61</v>
      </c>
      <c r="C69" t="s">
        <v>276</v>
      </c>
      <c r="D69" t="s">
        <v>284</v>
      </c>
      <c r="E69" t="s">
        <v>364</v>
      </c>
      <c r="F69" s="2" t="s">
        <v>365</v>
      </c>
      <c r="G69" s="52" t="s">
        <v>435</v>
      </c>
      <c r="H69" s="12" t="s">
        <v>550</v>
      </c>
      <c r="I69">
        <v>21.4</v>
      </c>
      <c r="J69">
        <v>1267490</v>
      </c>
      <c r="K69">
        <v>0.188</v>
      </c>
      <c r="L69">
        <v>0.14637691898143099</v>
      </c>
      <c r="M69">
        <v>0.136921830519765</v>
      </c>
      <c r="N69">
        <v>0.137128454501979</v>
      </c>
      <c r="O69" t="s">
        <v>365</v>
      </c>
      <c r="P69" t="s">
        <v>443</v>
      </c>
    </row>
    <row r="70" spans="1:17" x14ac:dyDescent="0.25">
      <c r="A70" t="s">
        <v>366</v>
      </c>
      <c r="B70" t="s">
        <v>61</v>
      </c>
      <c r="C70" t="s">
        <v>276</v>
      </c>
      <c r="D70" t="s">
        <v>277</v>
      </c>
      <c r="E70" t="s">
        <v>281</v>
      </c>
      <c r="F70" s="2" t="s">
        <v>279</v>
      </c>
      <c r="G70" s="2" t="s">
        <v>279</v>
      </c>
      <c r="H70" s="12" t="s">
        <v>279</v>
      </c>
      <c r="I70">
        <v>35.9</v>
      </c>
      <c r="J70">
        <v>3764572</v>
      </c>
      <c r="K70">
        <v>8.2000000000000003E-2</v>
      </c>
      <c r="L70">
        <v>6.8631044562680807E-2</v>
      </c>
      <c r="M70">
        <v>2.4925939666561502E-2</v>
      </c>
      <c r="N70">
        <v>2.4581480915244001E-2</v>
      </c>
      <c r="O70" t="s">
        <v>443</v>
      </c>
      <c r="P70" t="s">
        <v>443</v>
      </c>
    </row>
    <row r="71" spans="1:17" x14ac:dyDescent="0.25">
      <c r="A71" t="s">
        <v>367</v>
      </c>
      <c r="B71" t="s">
        <v>61</v>
      </c>
      <c r="C71" t="s">
        <v>276</v>
      </c>
      <c r="D71" t="s">
        <v>277</v>
      </c>
      <c r="E71" t="s">
        <v>278</v>
      </c>
      <c r="F71" s="2" t="s">
        <v>279</v>
      </c>
      <c r="G71" s="2" t="s">
        <v>279</v>
      </c>
      <c r="H71" s="12" t="s">
        <v>279</v>
      </c>
      <c r="I71">
        <v>35.299999999999997</v>
      </c>
      <c r="J71">
        <v>4699698</v>
      </c>
      <c r="K71">
        <v>6.8000000000000005E-2</v>
      </c>
      <c r="L71">
        <v>6.9287830763599498E-2</v>
      </c>
      <c r="M71">
        <v>6.7733824584834998E-2</v>
      </c>
      <c r="N71">
        <v>3.8618201901859897E-2</v>
      </c>
      <c r="O71" t="s">
        <v>443</v>
      </c>
      <c r="P71" t="s">
        <v>443</v>
      </c>
    </row>
    <row r="72" spans="1:17" x14ac:dyDescent="0.25">
      <c r="A72" t="s">
        <v>368</v>
      </c>
      <c r="B72" t="s">
        <v>61</v>
      </c>
      <c r="C72" t="s">
        <v>276</v>
      </c>
      <c r="D72" t="s">
        <v>277</v>
      </c>
      <c r="E72" t="s">
        <v>281</v>
      </c>
      <c r="F72" s="2" t="s">
        <v>279</v>
      </c>
      <c r="G72" s="2" t="s">
        <v>279</v>
      </c>
      <c r="H72" s="12" t="s">
        <v>279</v>
      </c>
      <c r="I72">
        <v>32.700000000000003</v>
      </c>
      <c r="J72">
        <v>5483158</v>
      </c>
      <c r="K72">
        <v>6.8000000000000005E-2</v>
      </c>
      <c r="L72">
        <v>5.5776264954621603E-2</v>
      </c>
      <c r="M72">
        <v>1.48954497762565E-2</v>
      </c>
      <c r="N72">
        <v>1.6823772343196701E-2</v>
      </c>
      <c r="O72" t="s">
        <v>443</v>
      </c>
      <c r="P72" t="s">
        <v>443</v>
      </c>
    </row>
    <row r="73" spans="1:17" x14ac:dyDescent="0.25">
      <c r="A73" t="s">
        <v>369</v>
      </c>
      <c r="B73" t="s">
        <v>61</v>
      </c>
      <c r="C73" t="s">
        <v>276</v>
      </c>
      <c r="D73" t="s">
        <v>277</v>
      </c>
      <c r="E73" t="s">
        <v>278</v>
      </c>
      <c r="F73" s="2" t="s">
        <v>279</v>
      </c>
      <c r="G73" s="2" t="s">
        <v>279</v>
      </c>
      <c r="H73" s="12" t="s">
        <v>279</v>
      </c>
      <c r="I73">
        <v>26.1</v>
      </c>
      <c r="J73">
        <v>5052720</v>
      </c>
      <c r="K73">
        <v>7.6999999999999999E-2</v>
      </c>
      <c r="L73">
        <v>6.92476763726671E-2</v>
      </c>
      <c r="M73">
        <v>3.4745793638657298E-2</v>
      </c>
      <c r="N73">
        <v>2.9049988793780901E-2</v>
      </c>
      <c r="O73" t="s">
        <v>443</v>
      </c>
      <c r="P73" t="s">
        <v>443</v>
      </c>
    </row>
    <row r="74" spans="1:17" x14ac:dyDescent="0.25">
      <c r="A74" t="s">
        <v>370</v>
      </c>
      <c r="B74" t="s">
        <v>61</v>
      </c>
      <c r="C74" t="s">
        <v>276</v>
      </c>
      <c r="D74" t="s">
        <v>297</v>
      </c>
      <c r="E74" t="s">
        <v>281</v>
      </c>
      <c r="F74" s="52" t="s">
        <v>371</v>
      </c>
      <c r="G74" s="2" t="s">
        <v>371</v>
      </c>
      <c r="H74" s="12" t="s">
        <v>478</v>
      </c>
      <c r="I74">
        <v>38</v>
      </c>
      <c r="J74">
        <v>2313759</v>
      </c>
      <c r="K74">
        <v>0.109</v>
      </c>
      <c r="L74">
        <v>9.5155564100404794E-2</v>
      </c>
      <c r="M74">
        <v>8.0053025002924799E-2</v>
      </c>
      <c r="N74">
        <v>5.5283605661214701E-2</v>
      </c>
      <c r="O74" s="2" t="s">
        <v>371</v>
      </c>
      <c r="P74" t="s">
        <v>443</v>
      </c>
    </row>
    <row r="75" spans="1:17" x14ac:dyDescent="0.25">
      <c r="A75" t="s">
        <v>372</v>
      </c>
      <c r="B75" t="s">
        <v>61</v>
      </c>
      <c r="C75" t="s">
        <v>276</v>
      </c>
      <c r="D75" t="s">
        <v>297</v>
      </c>
      <c r="E75" t="s">
        <v>278</v>
      </c>
      <c r="F75" s="52" t="s">
        <v>373</v>
      </c>
      <c r="G75" s="2" t="s">
        <v>373</v>
      </c>
      <c r="H75" s="12" t="s">
        <v>479</v>
      </c>
      <c r="I75">
        <v>33.200000000000003</v>
      </c>
      <c r="J75">
        <v>4932209</v>
      </c>
      <c r="K75">
        <v>6.8000000000000005E-2</v>
      </c>
      <c r="L75">
        <v>5.9118771271713798E-2</v>
      </c>
      <c r="M75">
        <v>8.7234691880671705E-2</v>
      </c>
      <c r="N75">
        <v>7.0060523348670495E-2</v>
      </c>
      <c r="O75" s="2" t="s">
        <v>373</v>
      </c>
      <c r="P75" t="s">
        <v>443</v>
      </c>
    </row>
    <row r="76" spans="1:17" x14ac:dyDescent="0.25">
      <c r="A76" t="s">
        <v>374</v>
      </c>
      <c r="B76" t="s">
        <v>61</v>
      </c>
      <c r="C76" t="s">
        <v>276</v>
      </c>
      <c r="D76" t="s">
        <v>284</v>
      </c>
      <c r="E76" t="s">
        <v>278</v>
      </c>
      <c r="F76" s="2" t="s">
        <v>375</v>
      </c>
      <c r="G76" s="52" t="s">
        <v>436</v>
      </c>
      <c r="H76" s="12" t="s">
        <v>456</v>
      </c>
      <c r="I76">
        <v>44.9</v>
      </c>
      <c r="J76">
        <v>3278485</v>
      </c>
      <c r="K76">
        <v>8.1000000000000003E-2</v>
      </c>
      <c r="L76">
        <v>7.5220537857521197E-2</v>
      </c>
      <c r="M76">
        <v>0.14474460632498801</v>
      </c>
      <c r="N76">
        <v>0.119330525831084</v>
      </c>
      <c r="O76" t="s">
        <v>375</v>
      </c>
      <c r="P76" t="s">
        <v>443</v>
      </c>
    </row>
    <row r="77" spans="1:17" x14ac:dyDescent="0.25">
      <c r="A77" s="38" t="s">
        <v>376</v>
      </c>
      <c r="B77" s="38" t="s">
        <v>61</v>
      </c>
      <c r="C77" s="38" t="s">
        <v>287</v>
      </c>
      <c r="D77" s="38" t="s">
        <v>138</v>
      </c>
      <c r="E77" s="38" t="s">
        <v>288</v>
      </c>
      <c r="F77" s="51" t="s">
        <v>288</v>
      </c>
      <c r="G77" s="51" t="s">
        <v>288</v>
      </c>
      <c r="H77" s="39" t="s">
        <v>445</v>
      </c>
      <c r="I77" s="38">
        <v>228.4</v>
      </c>
      <c r="J77" s="38">
        <v>28538</v>
      </c>
      <c r="K77" s="38">
        <v>0.629</v>
      </c>
      <c r="L77" s="38">
        <v>0.44973378506483402</v>
      </c>
      <c r="M77" s="38">
        <v>8.4225208304207905E-2</v>
      </c>
      <c r="N77" s="38">
        <v>7.8943155007055399E-2</v>
      </c>
      <c r="O77" t="s">
        <v>138</v>
      </c>
      <c r="P77" t="s">
        <v>138</v>
      </c>
    </row>
    <row r="78" spans="1:17" x14ac:dyDescent="0.25">
      <c r="A78" t="s">
        <v>377</v>
      </c>
      <c r="B78" t="s">
        <v>61</v>
      </c>
      <c r="C78" t="s">
        <v>276</v>
      </c>
      <c r="D78" t="s">
        <v>277</v>
      </c>
      <c r="E78" t="s">
        <v>278</v>
      </c>
      <c r="F78" s="2" t="s">
        <v>279</v>
      </c>
      <c r="G78" s="2" t="s">
        <v>279</v>
      </c>
      <c r="H78" s="12" t="s">
        <v>279</v>
      </c>
      <c r="I78">
        <v>33.6</v>
      </c>
      <c r="J78">
        <v>2781035</v>
      </c>
      <c r="K78">
        <v>8.2000000000000003E-2</v>
      </c>
      <c r="L78">
        <v>6.76315942704174E-2</v>
      </c>
      <c r="M78">
        <v>1.6937864563470299E-2</v>
      </c>
      <c r="N78">
        <v>1.97207381632881E-2</v>
      </c>
      <c r="O78" t="s">
        <v>443</v>
      </c>
      <c r="P78" t="s">
        <v>443</v>
      </c>
    </row>
    <row r="79" spans="1:17" x14ac:dyDescent="0.25">
      <c r="A79" t="s">
        <v>378</v>
      </c>
      <c r="B79" t="s">
        <v>61</v>
      </c>
      <c r="C79" t="s">
        <v>276</v>
      </c>
      <c r="D79" t="s">
        <v>297</v>
      </c>
      <c r="E79" t="s">
        <v>278</v>
      </c>
      <c r="F79" s="52" t="s">
        <v>379</v>
      </c>
      <c r="G79" s="2" t="s">
        <v>379</v>
      </c>
      <c r="H79" s="12" t="s">
        <v>480</v>
      </c>
      <c r="I79">
        <v>26.3</v>
      </c>
      <c r="J79">
        <v>4949928</v>
      </c>
      <c r="K79">
        <v>5.6000000000000001E-2</v>
      </c>
      <c r="L79">
        <v>4.8922257885618103E-2</v>
      </c>
      <c r="M79">
        <v>4.7417409846964798E-2</v>
      </c>
      <c r="N79">
        <v>3.6952397118566599E-2</v>
      </c>
      <c r="O79" s="2" t="s">
        <v>379</v>
      </c>
      <c r="P79" t="s">
        <v>443</v>
      </c>
    </row>
    <row r="80" spans="1:17" x14ac:dyDescent="0.25">
      <c r="A80" t="s">
        <v>380</v>
      </c>
      <c r="B80" t="s">
        <v>61</v>
      </c>
      <c r="C80" t="s">
        <v>276</v>
      </c>
      <c r="D80" t="s">
        <v>277</v>
      </c>
      <c r="E80" t="s">
        <v>278</v>
      </c>
      <c r="F80" s="2" t="s">
        <v>279</v>
      </c>
      <c r="G80" s="2" t="s">
        <v>279</v>
      </c>
      <c r="H80" s="12" t="s">
        <v>279</v>
      </c>
      <c r="I80">
        <v>661</v>
      </c>
      <c r="J80">
        <v>208614</v>
      </c>
      <c r="K80">
        <v>0.28999999999999998</v>
      </c>
      <c r="L80">
        <v>0.21297347800995101</v>
      </c>
      <c r="M80">
        <v>3.7024926589442501E-2</v>
      </c>
      <c r="N80">
        <v>4.2381157696242198E-2</v>
      </c>
      <c r="O80" t="s">
        <v>443</v>
      </c>
      <c r="P80" t="s">
        <v>443</v>
      </c>
    </row>
    <row r="81" spans="1:17" ht="30" x14ac:dyDescent="0.25">
      <c r="A81" t="s">
        <v>381</v>
      </c>
      <c r="B81" t="s">
        <v>61</v>
      </c>
      <c r="C81" t="s">
        <v>276</v>
      </c>
      <c r="D81" t="s">
        <v>284</v>
      </c>
      <c r="E81" t="s">
        <v>278</v>
      </c>
      <c r="F81" s="2" t="s">
        <v>382</v>
      </c>
      <c r="G81" s="52" t="s">
        <v>279</v>
      </c>
      <c r="H81" s="12" t="s">
        <v>457</v>
      </c>
      <c r="I81">
        <v>44.5</v>
      </c>
      <c r="J81">
        <v>2515532</v>
      </c>
      <c r="K81">
        <v>7.5999999999999998E-2</v>
      </c>
      <c r="L81">
        <v>6.3568816423222305E-2</v>
      </c>
      <c r="M81">
        <v>2.0735670843339299E-2</v>
      </c>
      <c r="N81">
        <v>2.2510995524800102E-2</v>
      </c>
      <c r="O81" s="2" t="s">
        <v>382</v>
      </c>
      <c r="P81" t="s">
        <v>443</v>
      </c>
    </row>
    <row r="82" spans="1:17" s="53" customFormat="1" x14ac:dyDescent="0.25">
      <c r="A82" s="53" t="s">
        <v>383</v>
      </c>
      <c r="B82" s="53" t="s">
        <v>61</v>
      </c>
      <c r="C82" s="53" t="s">
        <v>287</v>
      </c>
      <c r="D82" s="53" t="s">
        <v>138</v>
      </c>
      <c r="E82" s="53" t="s">
        <v>288</v>
      </c>
      <c r="F82" s="54" t="s">
        <v>288</v>
      </c>
      <c r="G82" s="54" t="s">
        <v>288</v>
      </c>
      <c r="H82" s="55" t="s">
        <v>445</v>
      </c>
      <c r="I82" s="53">
        <v>0</v>
      </c>
      <c r="J82" s="53">
        <v>2</v>
      </c>
      <c r="K82" s="53">
        <v>2</v>
      </c>
      <c r="L82" s="53">
        <v>2</v>
      </c>
      <c r="M82" s="53">
        <v>2</v>
      </c>
      <c r="N82" s="53">
        <v>2</v>
      </c>
      <c r="Q82" s="53" t="s">
        <v>549</v>
      </c>
    </row>
    <row r="83" spans="1:17" x14ac:dyDescent="0.25">
      <c r="A83" t="s">
        <v>384</v>
      </c>
      <c r="B83" t="s">
        <v>61</v>
      </c>
      <c r="C83" t="s">
        <v>276</v>
      </c>
      <c r="D83" t="s">
        <v>277</v>
      </c>
      <c r="E83" t="s">
        <v>278</v>
      </c>
      <c r="F83" s="2" t="s">
        <v>279</v>
      </c>
      <c r="G83" s="2" t="s">
        <v>279</v>
      </c>
      <c r="H83" s="12" t="s">
        <v>279</v>
      </c>
      <c r="I83">
        <v>78.900000000000006</v>
      </c>
      <c r="J83">
        <v>2844614</v>
      </c>
      <c r="K83">
        <v>0.111</v>
      </c>
      <c r="L83">
        <v>0.101617180663068</v>
      </c>
      <c r="M83">
        <v>0.102683670048603</v>
      </c>
      <c r="N83">
        <v>5.4105420861874101E-2</v>
      </c>
      <c r="O83" t="s">
        <v>443</v>
      </c>
      <c r="P83" t="s">
        <v>443</v>
      </c>
    </row>
    <row r="84" spans="1:17" x14ac:dyDescent="0.25">
      <c r="A84" t="s">
        <v>385</v>
      </c>
      <c r="B84" t="s">
        <v>61</v>
      </c>
      <c r="C84" t="s">
        <v>276</v>
      </c>
      <c r="D84" t="s">
        <v>284</v>
      </c>
      <c r="E84" t="s">
        <v>278</v>
      </c>
      <c r="F84" s="2" t="s">
        <v>386</v>
      </c>
      <c r="G84" s="52" t="s">
        <v>279</v>
      </c>
      <c r="H84" s="12" t="s">
        <v>458</v>
      </c>
      <c r="I84">
        <v>57</v>
      </c>
      <c r="J84">
        <v>2610016</v>
      </c>
      <c r="K84">
        <v>0.106</v>
      </c>
      <c r="L84">
        <v>0.10187198014203599</v>
      </c>
      <c r="M84">
        <v>0.10838991327957501</v>
      </c>
      <c r="N84">
        <v>5.9025675560697898E-2</v>
      </c>
      <c r="O84" t="s">
        <v>386</v>
      </c>
      <c r="P84" t="s">
        <v>443</v>
      </c>
    </row>
    <row r="85" spans="1:17" x14ac:dyDescent="0.25">
      <c r="A85" t="s">
        <v>387</v>
      </c>
      <c r="B85" t="s">
        <v>61</v>
      </c>
      <c r="C85" t="s">
        <v>276</v>
      </c>
      <c r="D85" t="s">
        <v>297</v>
      </c>
      <c r="E85" t="s">
        <v>281</v>
      </c>
      <c r="F85" s="52" t="s">
        <v>359</v>
      </c>
      <c r="G85" s="2" t="s">
        <v>359</v>
      </c>
      <c r="H85" s="12" t="s">
        <v>477</v>
      </c>
      <c r="I85">
        <v>55.9</v>
      </c>
      <c r="J85">
        <v>2355299</v>
      </c>
      <c r="K85">
        <v>0.12</v>
      </c>
      <c r="L85">
        <v>0.10191130270305</v>
      </c>
      <c r="M85">
        <v>0.101013170562211</v>
      </c>
      <c r="N85">
        <v>4.4234935143247403E-2</v>
      </c>
      <c r="O85" s="2" t="s">
        <v>359</v>
      </c>
      <c r="P85" t="s">
        <v>443</v>
      </c>
    </row>
    <row r="86" spans="1:17" x14ac:dyDescent="0.25">
      <c r="A86" s="38" t="s">
        <v>388</v>
      </c>
      <c r="B86" s="38" t="s">
        <v>61</v>
      </c>
      <c r="C86" s="38" t="s">
        <v>287</v>
      </c>
      <c r="D86" s="38" t="s">
        <v>138</v>
      </c>
      <c r="E86" s="38" t="s">
        <v>288</v>
      </c>
      <c r="F86" s="51" t="s">
        <v>288</v>
      </c>
      <c r="G86" s="51" t="s">
        <v>288</v>
      </c>
      <c r="H86" s="39" t="s">
        <v>445</v>
      </c>
      <c r="I86" s="38">
        <v>8115.2</v>
      </c>
      <c r="J86" s="38">
        <v>26565</v>
      </c>
      <c r="K86" s="38">
        <v>0.88200000000000001</v>
      </c>
      <c r="L86" s="38">
        <v>0.64797286234106399</v>
      </c>
      <c r="M86" s="38">
        <v>0.103134948951358</v>
      </c>
      <c r="N86" s="38">
        <v>0.14029497948990399</v>
      </c>
      <c r="O86" t="s">
        <v>138</v>
      </c>
      <c r="P86" t="s">
        <v>138</v>
      </c>
    </row>
    <row r="87" spans="1:17" x14ac:dyDescent="0.25">
      <c r="A87" t="s">
        <v>389</v>
      </c>
      <c r="B87" t="s">
        <v>61</v>
      </c>
      <c r="C87" t="s">
        <v>276</v>
      </c>
      <c r="D87" t="s">
        <v>277</v>
      </c>
      <c r="E87" t="s">
        <v>281</v>
      </c>
      <c r="F87" s="2" t="s">
        <v>279</v>
      </c>
      <c r="G87" s="2" t="s">
        <v>279</v>
      </c>
      <c r="H87" s="12" t="s">
        <v>279</v>
      </c>
      <c r="I87">
        <v>32.799999999999997</v>
      </c>
      <c r="J87">
        <v>6394399</v>
      </c>
      <c r="K87">
        <v>5.6000000000000001E-2</v>
      </c>
      <c r="L87">
        <v>4.7339927099478998E-2</v>
      </c>
      <c r="M87">
        <v>1.74868284737279E-2</v>
      </c>
      <c r="N87">
        <v>1.9435606657737001E-2</v>
      </c>
      <c r="O87" t="s">
        <v>443</v>
      </c>
      <c r="P87" t="s">
        <v>443</v>
      </c>
    </row>
    <row r="88" spans="1:17" x14ac:dyDescent="0.25">
      <c r="A88" t="s">
        <v>390</v>
      </c>
      <c r="B88" t="s">
        <v>61</v>
      </c>
      <c r="C88" t="s">
        <v>276</v>
      </c>
      <c r="D88" t="s">
        <v>297</v>
      </c>
      <c r="E88" t="s">
        <v>281</v>
      </c>
      <c r="F88" s="52" t="s">
        <v>391</v>
      </c>
      <c r="G88" s="2" t="s">
        <v>391</v>
      </c>
      <c r="H88" s="12" t="s">
        <v>481</v>
      </c>
      <c r="I88">
        <v>41.6</v>
      </c>
      <c r="J88">
        <v>5223349</v>
      </c>
      <c r="K88">
        <v>7.0999999999999994E-2</v>
      </c>
      <c r="L88">
        <v>6.1898031377406397E-2</v>
      </c>
      <c r="M88">
        <v>7.4158962688774394E-2</v>
      </c>
      <c r="N88">
        <v>5.5235008170460898E-2</v>
      </c>
      <c r="O88" s="2" t="s">
        <v>391</v>
      </c>
      <c r="P88" t="s">
        <v>443</v>
      </c>
    </row>
    <row r="89" spans="1:17" x14ac:dyDescent="0.25">
      <c r="A89" t="s">
        <v>392</v>
      </c>
      <c r="B89" t="s">
        <v>61</v>
      </c>
      <c r="C89" t="s">
        <v>276</v>
      </c>
      <c r="D89" t="s">
        <v>297</v>
      </c>
      <c r="E89" t="s">
        <v>393</v>
      </c>
      <c r="F89" s="52" t="s">
        <v>394</v>
      </c>
      <c r="G89" s="2" t="s">
        <v>437</v>
      </c>
      <c r="H89" s="12" t="s">
        <v>475</v>
      </c>
      <c r="I89">
        <v>25.3</v>
      </c>
      <c r="J89">
        <v>6423361</v>
      </c>
      <c r="K89">
        <v>7.8E-2</v>
      </c>
      <c r="L89">
        <v>6.7734481163413907E-2</v>
      </c>
      <c r="M89">
        <v>4.8869430015802399E-2</v>
      </c>
      <c r="N89">
        <v>4.2555810739028102E-2</v>
      </c>
      <c r="O89" t="s">
        <v>443</v>
      </c>
      <c r="P89" t="s">
        <v>297</v>
      </c>
    </row>
    <row r="90" spans="1:17" x14ac:dyDescent="0.25">
      <c r="A90" t="s">
        <v>395</v>
      </c>
      <c r="B90" t="s">
        <v>61</v>
      </c>
      <c r="C90" t="s">
        <v>276</v>
      </c>
      <c r="D90" t="s">
        <v>284</v>
      </c>
      <c r="E90" t="s">
        <v>396</v>
      </c>
      <c r="F90" s="2" t="s">
        <v>397</v>
      </c>
      <c r="G90" s="52" t="s">
        <v>279</v>
      </c>
      <c r="H90" s="12" t="s">
        <v>466</v>
      </c>
      <c r="I90">
        <v>42.3</v>
      </c>
      <c r="J90">
        <v>5354171</v>
      </c>
      <c r="K90">
        <v>8.6999999999999994E-2</v>
      </c>
      <c r="L90">
        <v>7.9732389678698598E-2</v>
      </c>
      <c r="M90">
        <v>5.3430909941785898E-2</v>
      </c>
      <c r="N90">
        <v>6.5367698854799705E-2</v>
      </c>
      <c r="O90" t="s">
        <v>443</v>
      </c>
      <c r="P90" t="s">
        <v>464</v>
      </c>
    </row>
    <row r="91" spans="1:17" x14ac:dyDescent="0.25">
      <c r="A91" t="s">
        <v>398</v>
      </c>
      <c r="B91" t="s">
        <v>61</v>
      </c>
      <c r="C91" t="s">
        <v>276</v>
      </c>
      <c r="D91" t="s">
        <v>297</v>
      </c>
      <c r="E91" t="s">
        <v>281</v>
      </c>
      <c r="F91" s="52" t="s">
        <v>399</v>
      </c>
      <c r="G91" s="2" t="s">
        <v>438</v>
      </c>
      <c r="H91" s="12" t="s">
        <v>448</v>
      </c>
      <c r="I91">
        <v>42.6</v>
      </c>
      <c r="J91">
        <v>5254350</v>
      </c>
      <c r="K91">
        <v>6.4000000000000001E-2</v>
      </c>
      <c r="L91">
        <v>5.3945148914522699E-2</v>
      </c>
      <c r="M91">
        <v>9.5528936917261997E-2</v>
      </c>
      <c r="N91">
        <v>8.6944755822028694E-2</v>
      </c>
      <c r="O91" s="2" t="s">
        <v>438</v>
      </c>
      <c r="P91" t="s">
        <v>443</v>
      </c>
    </row>
    <row r="92" spans="1:17" x14ac:dyDescent="0.25">
      <c r="A92" t="s">
        <v>400</v>
      </c>
      <c r="B92" t="s">
        <v>61</v>
      </c>
      <c r="C92" t="s">
        <v>276</v>
      </c>
      <c r="D92" t="s">
        <v>277</v>
      </c>
      <c r="E92" t="s">
        <v>278</v>
      </c>
      <c r="F92" s="2" t="s">
        <v>279</v>
      </c>
      <c r="G92" s="2" t="s">
        <v>279</v>
      </c>
      <c r="H92" s="12" t="s">
        <v>279</v>
      </c>
      <c r="I92">
        <v>33.700000000000003</v>
      </c>
      <c r="J92">
        <v>4580962</v>
      </c>
      <c r="K92">
        <v>6.5000000000000002E-2</v>
      </c>
      <c r="L92">
        <v>5.50919026052719E-2</v>
      </c>
      <c r="M92">
        <v>3.9061640101422698E-2</v>
      </c>
      <c r="N92">
        <v>3.3065166917897001E-2</v>
      </c>
      <c r="O92" t="s">
        <v>443</v>
      </c>
      <c r="P92" t="s">
        <v>443</v>
      </c>
    </row>
    <row r="93" spans="1:17" x14ac:dyDescent="0.25">
      <c r="A93" t="s">
        <v>401</v>
      </c>
      <c r="B93" t="s">
        <v>61</v>
      </c>
      <c r="C93" t="s">
        <v>276</v>
      </c>
      <c r="D93" t="s">
        <v>277</v>
      </c>
      <c r="E93" t="s">
        <v>278</v>
      </c>
      <c r="F93" s="2" t="s">
        <v>279</v>
      </c>
      <c r="G93" s="2" t="s">
        <v>279</v>
      </c>
      <c r="H93" s="12" t="s">
        <v>279</v>
      </c>
      <c r="I93">
        <v>32</v>
      </c>
      <c r="J93">
        <v>6137579</v>
      </c>
      <c r="K93">
        <v>0.05</v>
      </c>
      <c r="L93">
        <v>4.0918596216348399E-2</v>
      </c>
      <c r="M93">
        <v>1.2464809741054E-2</v>
      </c>
      <c r="N93">
        <v>1.50216284060029E-2</v>
      </c>
      <c r="O93" t="s">
        <v>443</v>
      </c>
      <c r="P93" t="s">
        <v>443</v>
      </c>
    </row>
    <row r="94" spans="1:17" x14ac:dyDescent="0.25">
      <c r="A94" t="s">
        <v>402</v>
      </c>
      <c r="B94" t="s">
        <v>61</v>
      </c>
      <c r="C94" t="s">
        <v>276</v>
      </c>
      <c r="D94" t="s">
        <v>277</v>
      </c>
      <c r="E94" t="s">
        <v>281</v>
      </c>
      <c r="F94" s="2" t="s">
        <v>279</v>
      </c>
      <c r="G94" s="2" t="s">
        <v>279</v>
      </c>
      <c r="H94" s="12" t="s">
        <v>279</v>
      </c>
      <c r="I94">
        <v>26.6</v>
      </c>
      <c r="J94">
        <v>5554507</v>
      </c>
      <c r="K94">
        <v>5.8999999999999997E-2</v>
      </c>
      <c r="L94">
        <v>4.7994499015544798E-2</v>
      </c>
      <c r="M94">
        <v>6.6829986989014496E-3</v>
      </c>
      <c r="N94">
        <v>1.1062039111488399E-2</v>
      </c>
      <c r="O94" t="s">
        <v>443</v>
      </c>
      <c r="P94" t="s">
        <v>443</v>
      </c>
    </row>
    <row r="95" spans="1:17" x14ac:dyDescent="0.25">
      <c r="A95" t="s">
        <v>403</v>
      </c>
      <c r="B95" t="s">
        <v>61</v>
      </c>
      <c r="C95" t="s">
        <v>276</v>
      </c>
      <c r="D95" t="s">
        <v>277</v>
      </c>
      <c r="E95" t="s">
        <v>278</v>
      </c>
      <c r="F95" s="2" t="s">
        <v>279</v>
      </c>
      <c r="G95" s="2" t="s">
        <v>279</v>
      </c>
      <c r="H95" s="12" t="s">
        <v>279</v>
      </c>
      <c r="I95">
        <v>32.1</v>
      </c>
      <c r="J95">
        <v>3815776</v>
      </c>
      <c r="K95">
        <v>9.1999999999999998E-2</v>
      </c>
      <c r="L95">
        <v>8.6888498581384394E-2</v>
      </c>
      <c r="M95">
        <v>8.7316838999235896E-2</v>
      </c>
      <c r="N95">
        <v>4.5010792734254297E-2</v>
      </c>
      <c r="O95" t="s">
        <v>443</v>
      </c>
      <c r="P95" t="s">
        <v>443</v>
      </c>
    </row>
    <row r="96" spans="1:17" x14ac:dyDescent="0.25">
      <c r="A96" t="s">
        <v>404</v>
      </c>
      <c r="B96" t="s">
        <v>61</v>
      </c>
      <c r="C96" t="s">
        <v>276</v>
      </c>
      <c r="D96" t="s">
        <v>277</v>
      </c>
      <c r="E96" t="s">
        <v>278</v>
      </c>
      <c r="F96" s="2" t="s">
        <v>279</v>
      </c>
      <c r="G96" s="2" t="s">
        <v>279</v>
      </c>
      <c r="H96" s="12" t="s">
        <v>279</v>
      </c>
      <c r="I96">
        <v>20.9</v>
      </c>
      <c r="J96">
        <v>4615451</v>
      </c>
      <c r="K96">
        <v>6.8000000000000005E-2</v>
      </c>
      <c r="L96">
        <v>6.19928323068E-2</v>
      </c>
      <c r="M96">
        <v>3.3001230387870097E-2</v>
      </c>
      <c r="N96">
        <v>3.4937355882100903E-2</v>
      </c>
      <c r="O96" t="s">
        <v>443</v>
      </c>
      <c r="P96" t="s">
        <v>443</v>
      </c>
    </row>
    <row r="97" spans="1:17" x14ac:dyDescent="0.25">
      <c r="A97" t="s">
        <v>405</v>
      </c>
      <c r="B97" t="s">
        <v>61</v>
      </c>
      <c r="C97" t="s">
        <v>276</v>
      </c>
      <c r="D97" t="s">
        <v>284</v>
      </c>
      <c r="E97" t="s">
        <v>281</v>
      </c>
      <c r="F97" s="2" t="s">
        <v>406</v>
      </c>
      <c r="G97" s="52" t="s">
        <v>279</v>
      </c>
      <c r="H97" s="12" t="s">
        <v>458</v>
      </c>
      <c r="I97">
        <v>41</v>
      </c>
      <c r="J97">
        <v>3579006</v>
      </c>
      <c r="K97">
        <v>0.13</v>
      </c>
      <c r="L97">
        <v>0.12239995168251799</v>
      </c>
      <c r="M97">
        <v>0.112677194226164</v>
      </c>
      <c r="N97">
        <v>4.5318881786315303E-2</v>
      </c>
      <c r="O97" t="s">
        <v>406</v>
      </c>
      <c r="P97" t="s">
        <v>443</v>
      </c>
    </row>
    <row r="98" spans="1:17" ht="135" x14ac:dyDescent="0.25">
      <c r="A98" t="s">
        <v>407</v>
      </c>
      <c r="B98" t="s">
        <v>61</v>
      </c>
      <c r="C98" t="s">
        <v>276</v>
      </c>
      <c r="D98" t="s">
        <v>297</v>
      </c>
      <c r="E98" t="s">
        <v>408</v>
      </c>
      <c r="F98" s="52" t="s">
        <v>409</v>
      </c>
      <c r="G98" s="40" t="s">
        <v>439</v>
      </c>
      <c r="H98" s="12" t="s">
        <v>468</v>
      </c>
      <c r="I98">
        <v>79.2</v>
      </c>
      <c r="J98">
        <v>2825541</v>
      </c>
      <c r="K98">
        <v>0.11600000000000001</v>
      </c>
      <c r="L98">
        <v>0.15091127805387</v>
      </c>
      <c r="M98">
        <v>0.39875366651622701</v>
      </c>
      <c r="N98">
        <v>0.19806413895764899</v>
      </c>
      <c r="O98" s="40" t="s">
        <v>469</v>
      </c>
      <c r="P98" t="s">
        <v>297</v>
      </c>
    </row>
    <row r="99" spans="1:17" x14ac:dyDescent="0.25">
      <c r="A99" t="s">
        <v>410</v>
      </c>
      <c r="B99" t="s">
        <v>61</v>
      </c>
      <c r="C99" t="s">
        <v>276</v>
      </c>
      <c r="D99" t="s">
        <v>284</v>
      </c>
      <c r="E99" t="s">
        <v>411</v>
      </c>
      <c r="F99" s="2" t="s">
        <v>412</v>
      </c>
      <c r="G99" s="52" t="s">
        <v>437</v>
      </c>
      <c r="H99" s="12" t="s">
        <v>460</v>
      </c>
      <c r="I99">
        <v>36.200000000000003</v>
      </c>
      <c r="J99">
        <v>3151884</v>
      </c>
      <c r="K99">
        <v>0.10299999999999999</v>
      </c>
      <c r="L99">
        <v>8.8088503020695E-2</v>
      </c>
      <c r="M99">
        <v>4.1797936777332199E-2</v>
      </c>
      <c r="N99">
        <v>3.4785713580252398E-2</v>
      </c>
      <c r="O99" t="s">
        <v>443</v>
      </c>
      <c r="P99" t="s">
        <v>465</v>
      </c>
    </row>
    <row r="100" spans="1:17" x14ac:dyDescent="0.25">
      <c r="A100" t="s">
        <v>413</v>
      </c>
      <c r="B100" t="s">
        <v>61</v>
      </c>
      <c r="C100" t="s">
        <v>276</v>
      </c>
      <c r="D100" t="s">
        <v>284</v>
      </c>
      <c r="E100" t="s">
        <v>414</v>
      </c>
      <c r="F100" s="2" t="s">
        <v>415</v>
      </c>
      <c r="G100" s="52" t="s">
        <v>279</v>
      </c>
      <c r="H100" s="12" t="s">
        <v>459</v>
      </c>
      <c r="I100">
        <v>291</v>
      </c>
      <c r="J100">
        <v>704223</v>
      </c>
      <c r="K100">
        <v>0.38200000000000001</v>
      </c>
      <c r="L100">
        <v>0.27660881620248001</v>
      </c>
      <c r="M100">
        <v>7.49055075160273E-2</v>
      </c>
      <c r="N100">
        <v>6.6676300972598204E-2</v>
      </c>
      <c r="O100" t="s">
        <v>443</v>
      </c>
      <c r="P100" t="s">
        <v>463</v>
      </c>
    </row>
    <row r="101" spans="1:17" x14ac:dyDescent="0.25">
      <c r="A101" t="s">
        <v>416</v>
      </c>
      <c r="B101" t="s">
        <v>61</v>
      </c>
      <c r="C101" t="s">
        <v>276</v>
      </c>
      <c r="D101" t="s">
        <v>277</v>
      </c>
      <c r="E101" t="s">
        <v>281</v>
      </c>
      <c r="F101" s="2" t="s">
        <v>279</v>
      </c>
      <c r="G101" s="2" t="s">
        <v>279</v>
      </c>
      <c r="H101" s="12" t="s">
        <v>279</v>
      </c>
      <c r="I101">
        <v>48.1</v>
      </c>
      <c r="J101">
        <v>2470807</v>
      </c>
      <c r="K101">
        <v>0.104</v>
      </c>
      <c r="L101">
        <v>8.9011054096046302E-2</v>
      </c>
      <c r="M101">
        <v>5.8729721664643998E-2</v>
      </c>
      <c r="N101">
        <v>4.4623608737511498E-2</v>
      </c>
      <c r="O101" t="s">
        <v>443</v>
      </c>
      <c r="P101" t="s">
        <v>443</v>
      </c>
    </row>
    <row r="102" spans="1:17" x14ac:dyDescent="0.25">
      <c r="A102" t="s">
        <v>417</v>
      </c>
      <c r="B102" t="s">
        <v>61</v>
      </c>
      <c r="C102" t="s">
        <v>276</v>
      </c>
      <c r="D102" t="s">
        <v>297</v>
      </c>
      <c r="E102" t="s">
        <v>278</v>
      </c>
      <c r="F102" s="52" t="s">
        <v>317</v>
      </c>
      <c r="G102" s="2" t="s">
        <v>317</v>
      </c>
      <c r="H102" s="12" t="s">
        <v>471</v>
      </c>
      <c r="I102">
        <v>35.1</v>
      </c>
      <c r="J102">
        <v>2978831</v>
      </c>
      <c r="K102">
        <v>8.7999999999999995E-2</v>
      </c>
      <c r="L102">
        <v>8.0102140225682503E-2</v>
      </c>
      <c r="M102">
        <v>8.4048414167570598E-2</v>
      </c>
      <c r="N102">
        <v>5.9906384270233398E-2</v>
      </c>
      <c r="O102" s="2" t="s">
        <v>317</v>
      </c>
      <c r="P102" t="s">
        <v>443</v>
      </c>
    </row>
    <row r="103" spans="1:17" x14ac:dyDescent="0.25">
      <c r="A103" t="s">
        <v>418</v>
      </c>
      <c r="B103" t="s">
        <v>61</v>
      </c>
      <c r="C103" t="s">
        <v>276</v>
      </c>
      <c r="D103" t="s">
        <v>297</v>
      </c>
      <c r="E103" t="s">
        <v>278</v>
      </c>
      <c r="F103" s="52" t="s">
        <v>419</v>
      </c>
      <c r="G103" s="2" t="s">
        <v>440</v>
      </c>
      <c r="H103" s="12" t="s">
        <v>448</v>
      </c>
      <c r="I103">
        <v>59.7</v>
      </c>
      <c r="J103">
        <v>3316772</v>
      </c>
      <c r="K103">
        <v>6.7000000000000004E-2</v>
      </c>
      <c r="L103">
        <v>7.0294464167189194E-2</v>
      </c>
      <c r="M103">
        <v>6.4931573124271294E-2</v>
      </c>
      <c r="N103">
        <v>3.8556206815898698E-2</v>
      </c>
      <c r="O103" s="2" t="s">
        <v>440</v>
      </c>
      <c r="P103" t="s">
        <v>443</v>
      </c>
    </row>
    <row r="104" spans="1:17" x14ac:dyDescent="0.25">
      <c r="A104" t="s">
        <v>420</v>
      </c>
      <c r="B104" t="s">
        <v>61</v>
      </c>
      <c r="C104" t="s">
        <v>276</v>
      </c>
      <c r="D104" t="s">
        <v>284</v>
      </c>
      <c r="E104" t="s">
        <v>281</v>
      </c>
      <c r="F104" s="2" t="s">
        <v>421</v>
      </c>
      <c r="G104" s="52" t="s">
        <v>441</v>
      </c>
      <c r="H104" s="12" t="s">
        <v>461</v>
      </c>
      <c r="I104">
        <v>32</v>
      </c>
      <c r="J104">
        <v>2346432</v>
      </c>
      <c r="K104">
        <v>0.114</v>
      </c>
      <c r="L104">
        <v>9.7454510680821504E-2</v>
      </c>
      <c r="M104">
        <v>9.1584415746910799E-2</v>
      </c>
      <c r="N104">
        <v>4.1753937568106698E-2</v>
      </c>
      <c r="O104" t="s">
        <v>421</v>
      </c>
      <c r="P104" t="s">
        <v>443</v>
      </c>
    </row>
    <row r="105" spans="1:17" x14ac:dyDescent="0.25">
      <c r="A105" t="s">
        <v>422</v>
      </c>
      <c r="B105" t="s">
        <v>61</v>
      </c>
      <c r="C105" t="s">
        <v>276</v>
      </c>
      <c r="D105" t="s">
        <v>277</v>
      </c>
      <c r="E105" t="s">
        <v>278</v>
      </c>
      <c r="F105" s="2" t="s">
        <v>279</v>
      </c>
      <c r="G105" s="2" t="s">
        <v>279</v>
      </c>
      <c r="H105" s="12" t="s">
        <v>279</v>
      </c>
      <c r="I105">
        <v>23.1</v>
      </c>
      <c r="J105">
        <v>4771673</v>
      </c>
      <c r="K105">
        <v>5.5E-2</v>
      </c>
      <c r="L105">
        <v>4.7042270201117502E-2</v>
      </c>
      <c r="M105">
        <v>2.7190585058215699E-2</v>
      </c>
      <c r="N105">
        <v>2.4987160195213801E-2</v>
      </c>
      <c r="O105" t="s">
        <v>443</v>
      </c>
      <c r="P105" t="s">
        <v>443</v>
      </c>
    </row>
    <row r="106" spans="1:17" x14ac:dyDescent="0.25">
      <c r="A106" t="s">
        <v>423</v>
      </c>
      <c r="B106" t="s">
        <v>61</v>
      </c>
      <c r="C106" t="s">
        <v>276</v>
      </c>
      <c r="D106" t="s">
        <v>297</v>
      </c>
      <c r="E106" t="s">
        <v>281</v>
      </c>
      <c r="F106" s="52" t="s">
        <v>424</v>
      </c>
      <c r="G106" s="2" t="s">
        <v>442</v>
      </c>
      <c r="H106" s="12" t="s">
        <v>448</v>
      </c>
      <c r="I106">
        <v>42.9</v>
      </c>
      <c r="J106">
        <v>4992107</v>
      </c>
      <c r="K106">
        <v>6.3E-2</v>
      </c>
      <c r="L106">
        <v>5.2062207053855697E-2</v>
      </c>
      <c r="M106">
        <v>3.0976834757024702E-2</v>
      </c>
      <c r="N106">
        <v>1.6157267917037799E-2</v>
      </c>
      <c r="O106" t="s">
        <v>442</v>
      </c>
      <c r="P106" t="s">
        <v>443</v>
      </c>
    </row>
    <row r="107" spans="1:17" x14ac:dyDescent="0.25">
      <c r="A107" t="s">
        <v>425</v>
      </c>
      <c r="B107" t="s">
        <v>61</v>
      </c>
      <c r="C107" t="s">
        <v>276</v>
      </c>
      <c r="D107" t="s">
        <v>277</v>
      </c>
      <c r="E107" t="s">
        <v>281</v>
      </c>
      <c r="F107" s="2" t="s">
        <v>279</v>
      </c>
      <c r="G107" s="2" t="s">
        <v>279</v>
      </c>
      <c r="H107" s="12" t="s">
        <v>279</v>
      </c>
      <c r="I107">
        <v>20.6</v>
      </c>
      <c r="J107">
        <v>4395590</v>
      </c>
      <c r="K107">
        <v>5.8999999999999997E-2</v>
      </c>
      <c r="L107">
        <v>4.7545836128752801E-2</v>
      </c>
      <c r="M107">
        <v>2.0505579638536001E-2</v>
      </c>
      <c r="N107">
        <v>2.1555090768496599E-2</v>
      </c>
      <c r="O107" t="s">
        <v>443</v>
      </c>
      <c r="P107" t="s">
        <v>443</v>
      </c>
    </row>
    <row r="108" spans="1:17" s="53" customFormat="1" x14ac:dyDescent="0.25">
      <c r="A108" s="53" t="s">
        <v>426</v>
      </c>
      <c r="B108" s="53" t="s">
        <v>61</v>
      </c>
      <c r="C108" s="53" t="s">
        <v>287</v>
      </c>
      <c r="D108" s="53" t="s">
        <v>138</v>
      </c>
      <c r="E108" s="53" t="s">
        <v>288</v>
      </c>
      <c r="F108" s="54" t="s">
        <v>288</v>
      </c>
      <c r="G108" s="54" t="s">
        <v>288</v>
      </c>
      <c r="H108" s="55" t="s">
        <v>444</v>
      </c>
      <c r="I108" s="53">
        <v>143</v>
      </c>
      <c r="J108" s="53">
        <v>374014</v>
      </c>
      <c r="K108" s="53">
        <v>0.309</v>
      </c>
      <c r="L108" s="53">
        <v>0.27003392389229802</v>
      </c>
      <c r="M108" s="53">
        <v>0.20287662088071501</v>
      </c>
      <c r="N108" s="53">
        <v>0.205518043447114</v>
      </c>
      <c r="O108" s="53" t="s">
        <v>138</v>
      </c>
      <c r="P108" s="53" t="s">
        <v>138</v>
      </c>
      <c r="Q108" s="53" t="s">
        <v>557</v>
      </c>
    </row>
    <row r="109" spans="1:17" x14ac:dyDescent="0.25">
      <c r="A109" t="s">
        <v>564</v>
      </c>
      <c r="C109" t="s">
        <v>276</v>
      </c>
      <c r="D109" t="s">
        <v>297</v>
      </c>
      <c r="E109" t="s">
        <v>278</v>
      </c>
      <c r="F109" s="71" t="s">
        <v>565</v>
      </c>
      <c r="G109" t="s">
        <v>317</v>
      </c>
      <c r="H109" s="12" t="s">
        <v>471</v>
      </c>
      <c r="I109" s="72">
        <v>41.2</v>
      </c>
      <c r="J109" s="72">
        <v>2542414</v>
      </c>
      <c r="K109" s="72">
        <v>0.08</v>
      </c>
      <c r="L109" s="72">
        <v>7.2396977550909805E-2</v>
      </c>
      <c r="M109" s="72">
        <v>8.75266784901714E-2</v>
      </c>
      <c r="N109" s="72">
        <v>5.8806946035635299E-2</v>
      </c>
      <c r="O109" t="s">
        <v>317</v>
      </c>
      <c r="P109" t="s">
        <v>443</v>
      </c>
    </row>
    <row r="110" spans="1:17" x14ac:dyDescent="0.25">
      <c r="A110" t="s">
        <v>566</v>
      </c>
      <c r="C110" t="s">
        <v>276</v>
      </c>
      <c r="D110" t="s">
        <v>277</v>
      </c>
      <c r="E110" t="s">
        <v>281</v>
      </c>
      <c r="F110" t="s">
        <v>279</v>
      </c>
      <c r="G110" t="s">
        <v>279</v>
      </c>
      <c r="H110" s="12" t="s">
        <v>279</v>
      </c>
      <c r="I110" s="72">
        <v>39.200000000000003</v>
      </c>
      <c r="J110" s="72">
        <v>2737703</v>
      </c>
      <c r="K110" s="72">
        <v>7.1999999999999995E-2</v>
      </c>
      <c r="L110" s="72">
        <v>6.1507370860616001E-2</v>
      </c>
      <c r="M110" s="72">
        <v>2.9334017780232799E-2</v>
      </c>
      <c r="N110" s="72">
        <v>2.5658394321645801E-2</v>
      </c>
      <c r="O110" t="s">
        <v>443</v>
      </c>
      <c r="P110" t="s">
        <v>443</v>
      </c>
    </row>
  </sheetData>
  <autoFilter ref="A14:N10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31"/>
  <sheetViews>
    <sheetView topLeftCell="A17" zoomScale="70" zoomScaleNormal="70" workbookViewId="0">
      <selection activeCell="I2" sqref="I2:I31"/>
    </sheetView>
  </sheetViews>
  <sheetFormatPr defaultRowHeight="15" x14ac:dyDescent="0.25"/>
  <cols>
    <col min="2" max="2" width="10.28515625" bestFit="1" customWidth="1"/>
    <col min="3" max="3" width="11.42578125" customWidth="1"/>
    <col min="4" max="4" width="12.5703125" customWidth="1"/>
    <col min="8" max="8" width="52" style="2" customWidth="1"/>
    <col min="9" max="9" width="23.42578125" customWidth="1"/>
    <col min="10" max="10" width="11.42578125" customWidth="1"/>
    <col min="11" max="11" width="20.42578125" customWidth="1"/>
  </cols>
  <sheetData>
    <row r="1" spans="1:151" ht="15.75" thickBot="1" x14ac:dyDescent="0.3">
      <c r="A1" s="20" t="s">
        <v>46</v>
      </c>
      <c r="B1" s="8" t="s">
        <v>27</v>
      </c>
      <c r="C1" s="21" t="s">
        <v>28</v>
      </c>
      <c r="D1" s="8" t="s">
        <v>29</v>
      </c>
      <c r="E1" s="8" t="s">
        <v>45</v>
      </c>
      <c r="F1" s="8" t="s">
        <v>30</v>
      </c>
      <c r="G1" s="22" t="s">
        <v>31</v>
      </c>
      <c r="H1" s="56" t="s">
        <v>32</v>
      </c>
      <c r="I1" s="8" t="s">
        <v>33</v>
      </c>
      <c r="J1" s="23" t="s">
        <v>34</v>
      </c>
      <c r="K1" s="8" t="s">
        <v>17</v>
      </c>
      <c r="L1" s="23" t="s">
        <v>18</v>
      </c>
      <c r="M1" s="8" t="s">
        <v>19</v>
      </c>
      <c r="N1" s="8" t="s">
        <v>35</v>
      </c>
      <c r="O1" s="8" t="s">
        <v>21</v>
      </c>
      <c r="P1" s="8" t="s">
        <v>36</v>
      </c>
      <c r="Q1" s="8" t="s">
        <v>47</v>
      </c>
      <c r="R1" s="24" t="s">
        <v>37</v>
      </c>
      <c r="S1" s="8" t="s">
        <v>38</v>
      </c>
      <c r="T1" s="8" t="s">
        <v>48</v>
      </c>
      <c r="U1" s="8" t="s">
        <v>49</v>
      </c>
      <c r="V1" s="23" t="s">
        <v>50</v>
      </c>
      <c r="W1" s="23" t="s">
        <v>39</v>
      </c>
      <c r="X1" s="25" t="s">
        <v>40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</row>
    <row r="2" spans="1:151" ht="15.75" thickBot="1" x14ac:dyDescent="0.3">
      <c r="A2" s="48"/>
      <c r="B2" s="49">
        <v>46064</v>
      </c>
      <c r="C2" s="49">
        <v>46065</v>
      </c>
      <c r="D2" s="49">
        <v>46065</v>
      </c>
      <c r="E2" s="48" t="s">
        <v>54</v>
      </c>
      <c r="F2" s="48" t="s">
        <v>540</v>
      </c>
      <c r="G2" s="48" t="s">
        <v>541</v>
      </c>
      <c r="H2" s="57" t="s">
        <v>542</v>
      </c>
      <c r="I2" s="61" t="s">
        <v>543</v>
      </c>
      <c r="J2" s="31">
        <v>2</v>
      </c>
      <c r="K2" s="48" t="s">
        <v>544</v>
      </c>
      <c r="L2" s="48" t="s">
        <v>545</v>
      </c>
      <c r="M2" s="48" t="s">
        <v>546</v>
      </c>
      <c r="N2" s="48" t="s">
        <v>547</v>
      </c>
      <c r="O2" s="48" t="s">
        <v>238</v>
      </c>
      <c r="P2" s="48" t="s">
        <v>548</v>
      </c>
      <c r="Q2" s="50">
        <v>46069</v>
      </c>
      <c r="R2" s="33" t="s">
        <v>62</v>
      </c>
      <c r="S2" s="6" t="s">
        <v>54</v>
      </c>
      <c r="T2" s="48"/>
      <c r="U2" s="50">
        <v>46071</v>
      </c>
      <c r="V2" s="6" t="s">
        <v>63</v>
      </c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</row>
    <row r="3" spans="1:151" ht="123.6" customHeight="1" thickBot="1" x14ac:dyDescent="0.3">
      <c r="A3" s="6"/>
      <c r="B3" s="6"/>
      <c r="C3" s="28">
        <v>46065</v>
      </c>
      <c r="D3" s="28">
        <v>46065</v>
      </c>
      <c r="E3" s="6" t="s">
        <v>54</v>
      </c>
      <c r="F3" s="6" t="s">
        <v>55</v>
      </c>
      <c r="G3" s="6" t="s">
        <v>56</v>
      </c>
      <c r="H3" s="58" t="s">
        <v>57</v>
      </c>
      <c r="I3" s="61" t="s">
        <v>58</v>
      </c>
      <c r="J3" s="31">
        <v>5</v>
      </c>
      <c r="K3" s="6" t="s">
        <v>59</v>
      </c>
      <c r="L3" s="6" t="s">
        <v>60</v>
      </c>
      <c r="M3" s="6" t="s">
        <v>61</v>
      </c>
      <c r="N3" s="6"/>
      <c r="O3" s="6"/>
      <c r="P3" s="6"/>
      <c r="Q3" s="32">
        <v>46069</v>
      </c>
      <c r="R3" s="33" t="s">
        <v>62</v>
      </c>
      <c r="S3" s="6" t="s">
        <v>54</v>
      </c>
      <c r="T3" s="6"/>
      <c r="U3" s="32">
        <v>46071</v>
      </c>
      <c r="V3" s="6" t="s">
        <v>63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</row>
    <row r="4" spans="1:151" ht="27" thickBot="1" x14ac:dyDescent="0.3">
      <c r="A4" s="6"/>
      <c r="B4" s="6" t="s">
        <v>64</v>
      </c>
      <c r="C4" s="32">
        <v>46066</v>
      </c>
      <c r="D4" s="6"/>
      <c r="E4" s="6" t="s">
        <v>65</v>
      </c>
      <c r="F4" s="6" t="s">
        <v>66</v>
      </c>
      <c r="G4" s="6" t="s">
        <v>67</v>
      </c>
      <c r="H4" s="59" t="s">
        <v>68</v>
      </c>
      <c r="I4" s="61" t="s">
        <v>69</v>
      </c>
      <c r="J4" s="31">
        <v>6</v>
      </c>
      <c r="K4" s="6" t="s">
        <v>70</v>
      </c>
      <c r="L4" s="6" t="s">
        <v>71</v>
      </c>
      <c r="M4" s="6" t="s">
        <v>61</v>
      </c>
      <c r="N4" s="6" t="s">
        <v>72</v>
      </c>
      <c r="O4" s="6" t="s">
        <v>73</v>
      </c>
      <c r="P4" s="6" t="s">
        <v>74</v>
      </c>
      <c r="Q4" s="32">
        <v>46069</v>
      </c>
      <c r="R4" s="33" t="s">
        <v>62</v>
      </c>
      <c r="S4" s="6" t="s">
        <v>54</v>
      </c>
      <c r="T4" s="6"/>
      <c r="U4" s="32">
        <v>46071</v>
      </c>
      <c r="V4" s="6" t="s">
        <v>63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</row>
    <row r="5" spans="1:151" ht="27" thickBot="1" x14ac:dyDescent="0.3">
      <c r="A5" s="6"/>
      <c r="B5" s="28">
        <v>46065</v>
      </c>
      <c r="C5" s="32">
        <v>46066</v>
      </c>
      <c r="D5" s="6"/>
      <c r="E5" s="6" t="s">
        <v>65</v>
      </c>
      <c r="F5" s="6" t="s">
        <v>75</v>
      </c>
      <c r="G5" s="6" t="s">
        <v>76</v>
      </c>
      <c r="H5" s="59" t="s">
        <v>68</v>
      </c>
      <c r="I5" s="61" t="s">
        <v>77</v>
      </c>
      <c r="J5" s="31">
        <v>4</v>
      </c>
      <c r="K5" s="6" t="s">
        <v>78</v>
      </c>
      <c r="L5" s="6" t="s">
        <v>79</v>
      </c>
      <c r="M5" s="6" t="s">
        <v>61</v>
      </c>
      <c r="N5" s="6" t="s">
        <v>72</v>
      </c>
      <c r="O5" s="6" t="s">
        <v>73</v>
      </c>
      <c r="P5" s="6" t="s">
        <v>80</v>
      </c>
      <c r="Q5" s="32">
        <v>46069</v>
      </c>
      <c r="R5" s="33" t="s">
        <v>62</v>
      </c>
      <c r="S5" s="6" t="s">
        <v>54</v>
      </c>
      <c r="T5" s="6"/>
      <c r="U5" s="32">
        <v>46071</v>
      </c>
      <c r="V5" s="6" t="s">
        <v>63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</row>
    <row r="6" spans="1:151" ht="15.75" thickBot="1" x14ac:dyDescent="0.3">
      <c r="A6" s="6"/>
      <c r="B6" s="28">
        <v>46064</v>
      </c>
      <c r="C6" s="32">
        <v>46066</v>
      </c>
      <c r="D6" s="32">
        <v>46066</v>
      </c>
      <c r="E6" s="6" t="s">
        <v>65</v>
      </c>
      <c r="F6" s="6" t="s">
        <v>81</v>
      </c>
      <c r="G6" s="9" t="s">
        <v>82</v>
      </c>
      <c r="H6" s="59"/>
      <c r="I6" s="61" t="s">
        <v>83</v>
      </c>
      <c r="J6" s="31">
        <v>1</v>
      </c>
      <c r="K6" s="6" t="s">
        <v>84</v>
      </c>
      <c r="L6" s="6" t="s">
        <v>85</v>
      </c>
      <c r="M6" s="6" t="s">
        <v>61</v>
      </c>
      <c r="N6" s="6" t="s">
        <v>86</v>
      </c>
      <c r="O6" s="6" t="s">
        <v>87</v>
      </c>
      <c r="P6" s="6" t="s">
        <v>88</v>
      </c>
      <c r="Q6" s="32">
        <v>46069</v>
      </c>
      <c r="R6" s="33" t="s">
        <v>62</v>
      </c>
      <c r="S6" s="6" t="s">
        <v>54</v>
      </c>
      <c r="T6" s="6"/>
      <c r="U6" s="32">
        <v>46071</v>
      </c>
      <c r="V6" s="6" t="s">
        <v>63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</row>
    <row r="7" spans="1:151" ht="15.75" thickBot="1" x14ac:dyDescent="0.3">
      <c r="A7" s="6"/>
      <c r="B7" s="28">
        <v>46064</v>
      </c>
      <c r="C7" s="32">
        <v>46066</v>
      </c>
      <c r="D7" s="32">
        <v>46066</v>
      </c>
      <c r="E7" s="6" t="s">
        <v>65</v>
      </c>
      <c r="F7" s="6" t="s">
        <v>89</v>
      </c>
      <c r="G7" s="9" t="s">
        <v>90</v>
      </c>
      <c r="H7" s="59"/>
      <c r="I7" s="61" t="s">
        <v>91</v>
      </c>
      <c r="J7" s="31">
        <v>5</v>
      </c>
      <c r="K7" s="6" t="s">
        <v>92</v>
      </c>
      <c r="L7" s="6" t="s">
        <v>93</v>
      </c>
      <c r="M7" s="6" t="s">
        <v>61</v>
      </c>
      <c r="N7" s="6" t="s">
        <v>94</v>
      </c>
      <c r="O7" s="6" t="s">
        <v>95</v>
      </c>
      <c r="P7" s="6" t="s">
        <v>96</v>
      </c>
      <c r="Q7" s="32">
        <v>46069</v>
      </c>
      <c r="R7" s="33" t="s">
        <v>62</v>
      </c>
      <c r="S7" s="6" t="s">
        <v>54</v>
      </c>
      <c r="T7" s="6"/>
      <c r="U7" s="32">
        <v>46071</v>
      </c>
      <c r="V7" s="6" t="s">
        <v>63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</row>
    <row r="8" spans="1:151" ht="15.75" thickBot="1" x14ac:dyDescent="0.3">
      <c r="A8" s="6"/>
      <c r="B8" s="28">
        <v>46063</v>
      </c>
      <c r="C8" s="32">
        <v>46066</v>
      </c>
      <c r="D8" s="32">
        <v>46066</v>
      </c>
      <c r="E8" s="6" t="s">
        <v>65</v>
      </c>
      <c r="F8" s="6" t="s">
        <v>97</v>
      </c>
      <c r="G8" s="9" t="s">
        <v>98</v>
      </c>
      <c r="H8" s="59"/>
      <c r="I8" s="61" t="s">
        <v>99</v>
      </c>
      <c r="J8" s="31">
        <v>1</v>
      </c>
      <c r="K8" s="6" t="s">
        <v>100</v>
      </c>
      <c r="L8" s="6" t="s">
        <v>101</v>
      </c>
      <c r="M8" s="6" t="s">
        <v>61</v>
      </c>
      <c r="N8" s="6" t="s">
        <v>102</v>
      </c>
      <c r="O8" s="6" t="s">
        <v>103</v>
      </c>
      <c r="P8" s="6" t="s">
        <v>104</v>
      </c>
      <c r="Q8" s="32">
        <v>46069</v>
      </c>
      <c r="R8" s="33" t="s">
        <v>62</v>
      </c>
      <c r="S8" s="6" t="s">
        <v>54</v>
      </c>
      <c r="T8" s="6"/>
      <c r="U8" s="32">
        <v>46071</v>
      </c>
      <c r="V8" s="6" t="s">
        <v>63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</row>
    <row r="9" spans="1:151" ht="15.75" thickBot="1" x14ac:dyDescent="0.3">
      <c r="A9" s="6"/>
      <c r="B9" s="28">
        <v>46065</v>
      </c>
      <c r="C9" s="32">
        <v>46066</v>
      </c>
      <c r="D9" s="32">
        <v>46066</v>
      </c>
      <c r="E9" s="6" t="s">
        <v>65</v>
      </c>
      <c r="F9" s="6" t="s">
        <v>105</v>
      </c>
      <c r="G9" s="9" t="s">
        <v>106</v>
      </c>
      <c r="H9" s="59"/>
      <c r="I9" s="61" t="s">
        <v>107</v>
      </c>
      <c r="J9" s="31">
        <v>3</v>
      </c>
      <c r="K9" s="6" t="s">
        <v>108</v>
      </c>
      <c r="L9" s="6" t="s">
        <v>109</v>
      </c>
      <c r="M9" s="6" t="s">
        <v>61</v>
      </c>
      <c r="N9" s="6" t="s">
        <v>110</v>
      </c>
      <c r="O9" s="6" t="s">
        <v>111</v>
      </c>
      <c r="P9" s="6" t="s">
        <v>112</v>
      </c>
      <c r="Q9" s="32">
        <v>46069</v>
      </c>
      <c r="R9" s="33" t="s">
        <v>62</v>
      </c>
      <c r="S9" s="6" t="s">
        <v>54</v>
      </c>
      <c r="T9" s="6"/>
      <c r="U9" s="32">
        <v>46071</v>
      </c>
      <c r="V9" s="6" t="s">
        <v>63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</row>
    <row r="10" spans="1:151" ht="15.75" thickBot="1" x14ac:dyDescent="0.3">
      <c r="A10" s="6"/>
      <c r="B10" s="28">
        <v>46065</v>
      </c>
      <c r="C10" s="32">
        <v>46066</v>
      </c>
      <c r="D10" s="32">
        <v>46066</v>
      </c>
      <c r="E10" s="6" t="s">
        <v>65</v>
      </c>
      <c r="F10" s="6" t="s">
        <v>113</v>
      </c>
      <c r="G10" s="26" t="s">
        <v>114</v>
      </c>
      <c r="H10" s="59"/>
      <c r="I10" s="61" t="s">
        <v>115</v>
      </c>
      <c r="J10" s="31">
        <v>2</v>
      </c>
      <c r="K10" s="6" t="s">
        <v>116</v>
      </c>
      <c r="L10" s="6" t="s">
        <v>117</v>
      </c>
      <c r="M10" s="6" t="s">
        <v>61</v>
      </c>
      <c r="N10" s="6" t="s">
        <v>118</v>
      </c>
      <c r="O10" s="6" t="s">
        <v>119</v>
      </c>
      <c r="P10" s="6" t="s">
        <v>120</v>
      </c>
      <c r="Q10" s="32">
        <v>46069</v>
      </c>
      <c r="R10" s="33" t="s">
        <v>62</v>
      </c>
      <c r="S10" s="6" t="s">
        <v>54</v>
      </c>
      <c r="T10" s="6"/>
      <c r="U10" s="32">
        <v>46071</v>
      </c>
      <c r="V10" s="6" t="s">
        <v>63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</row>
    <row r="11" spans="1:151" ht="15.75" thickBot="1" x14ac:dyDescent="0.3">
      <c r="A11" s="34"/>
      <c r="B11" s="35">
        <v>46063</v>
      </c>
      <c r="C11" s="36">
        <v>46066</v>
      </c>
      <c r="D11" s="36">
        <v>46066</v>
      </c>
      <c r="E11" s="34" t="s">
        <v>65</v>
      </c>
      <c r="F11" s="34" t="s">
        <v>121</v>
      </c>
      <c r="G11" s="27" t="s">
        <v>122</v>
      </c>
      <c r="H11" s="60"/>
      <c r="I11" s="61" t="s">
        <v>123</v>
      </c>
      <c r="J11" s="31">
        <v>2</v>
      </c>
      <c r="K11" s="34" t="s">
        <v>124</v>
      </c>
      <c r="L11" s="34" t="s">
        <v>125</v>
      </c>
      <c r="M11" s="34" t="s">
        <v>126</v>
      </c>
      <c r="N11" s="34" t="s">
        <v>127</v>
      </c>
      <c r="O11" s="34" t="s">
        <v>128</v>
      </c>
      <c r="P11" s="34" t="s">
        <v>129</v>
      </c>
      <c r="Q11" s="32">
        <v>46069</v>
      </c>
      <c r="R11" s="33" t="s">
        <v>62</v>
      </c>
      <c r="S11" s="6" t="s">
        <v>54</v>
      </c>
      <c r="T11" s="34"/>
      <c r="U11" s="32">
        <v>46071</v>
      </c>
      <c r="V11" s="6" t="s">
        <v>63</v>
      </c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</row>
    <row r="12" spans="1:151" ht="15.75" thickBot="1" x14ac:dyDescent="0.3">
      <c r="A12" s="6"/>
      <c r="B12" s="32">
        <v>46066</v>
      </c>
      <c r="C12" s="32">
        <v>46067</v>
      </c>
      <c r="D12" s="32">
        <v>46067</v>
      </c>
      <c r="E12" s="6" t="s">
        <v>65</v>
      </c>
      <c r="F12" s="6" t="s">
        <v>130</v>
      </c>
      <c r="G12" s="9" t="s">
        <v>131</v>
      </c>
      <c r="H12" s="59"/>
      <c r="I12" s="61" t="s">
        <v>132</v>
      </c>
      <c r="J12" s="31">
        <v>1</v>
      </c>
      <c r="K12" s="6" t="s">
        <v>133</v>
      </c>
      <c r="L12" s="6"/>
      <c r="M12" s="6" t="s">
        <v>61</v>
      </c>
      <c r="N12" s="6" t="s">
        <v>134</v>
      </c>
      <c r="O12" s="6" t="s">
        <v>135</v>
      </c>
      <c r="P12" s="6" t="s">
        <v>136</v>
      </c>
      <c r="Q12" s="32">
        <v>46069</v>
      </c>
      <c r="R12" s="33" t="s">
        <v>62</v>
      </c>
      <c r="S12" s="6" t="s">
        <v>54</v>
      </c>
      <c r="T12" s="6"/>
      <c r="U12" s="32">
        <v>46071</v>
      </c>
      <c r="V12" s="6" t="s">
        <v>63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</row>
    <row r="13" spans="1:151" ht="15.75" thickBot="1" x14ac:dyDescent="0.3">
      <c r="A13" s="6"/>
      <c r="B13" s="6" t="s">
        <v>137</v>
      </c>
      <c r="C13" s="32">
        <v>46067</v>
      </c>
      <c r="D13" s="32">
        <v>46067</v>
      </c>
      <c r="E13" s="6" t="s">
        <v>65</v>
      </c>
      <c r="F13" s="6" t="s">
        <v>138</v>
      </c>
      <c r="G13" s="9" t="s">
        <v>139</v>
      </c>
      <c r="H13" s="59"/>
      <c r="I13" s="61" t="s">
        <v>140</v>
      </c>
      <c r="J13" s="31">
        <v>3</v>
      </c>
      <c r="K13" s="6" t="s">
        <v>141</v>
      </c>
      <c r="L13" s="6" t="s">
        <v>142</v>
      </c>
      <c r="M13" s="6" t="s">
        <v>61</v>
      </c>
      <c r="N13" s="6" t="s">
        <v>143</v>
      </c>
      <c r="O13" s="6" t="s">
        <v>144</v>
      </c>
      <c r="P13" s="6" t="s">
        <v>145</v>
      </c>
      <c r="Q13" s="32">
        <v>46069</v>
      </c>
      <c r="R13" s="33" t="s">
        <v>62</v>
      </c>
      <c r="S13" s="6" t="s">
        <v>54</v>
      </c>
      <c r="T13" s="6"/>
      <c r="U13" s="32">
        <v>46071</v>
      </c>
      <c r="V13" s="6" t="s">
        <v>63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</row>
    <row r="14" spans="1:151" ht="15.75" thickBot="1" x14ac:dyDescent="0.3">
      <c r="A14" s="6"/>
      <c r="B14" s="6" t="s">
        <v>146</v>
      </c>
      <c r="C14" s="32">
        <v>46067</v>
      </c>
      <c r="D14" s="32">
        <v>46067</v>
      </c>
      <c r="E14" s="6" t="s">
        <v>65</v>
      </c>
      <c r="F14" s="6" t="s">
        <v>138</v>
      </c>
      <c r="G14" s="9" t="s">
        <v>147</v>
      </c>
      <c r="H14" s="59"/>
      <c r="I14" s="61" t="s">
        <v>148</v>
      </c>
      <c r="J14" s="31">
        <v>3</v>
      </c>
      <c r="K14" s="6" t="s">
        <v>149</v>
      </c>
      <c r="L14" s="6" t="s">
        <v>150</v>
      </c>
      <c r="M14" s="6" t="s">
        <v>61</v>
      </c>
      <c r="N14" s="6" t="s">
        <v>143</v>
      </c>
      <c r="O14" s="6" t="s">
        <v>144</v>
      </c>
      <c r="P14" s="6" t="s">
        <v>145</v>
      </c>
      <c r="Q14" s="32">
        <v>46069</v>
      </c>
      <c r="R14" s="33" t="s">
        <v>62</v>
      </c>
      <c r="S14" s="6" t="s">
        <v>54</v>
      </c>
      <c r="T14" s="6"/>
      <c r="U14" s="32">
        <v>46071</v>
      </c>
      <c r="V14" s="6" t="s">
        <v>63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</row>
    <row r="15" spans="1:151" ht="15.75" thickBot="1" x14ac:dyDescent="0.3">
      <c r="A15" s="6"/>
      <c r="B15" s="28">
        <v>46064</v>
      </c>
      <c r="C15" s="32">
        <v>46067</v>
      </c>
      <c r="D15" s="32">
        <v>46067</v>
      </c>
      <c r="E15" s="6" t="s">
        <v>65</v>
      </c>
      <c r="F15" s="6" t="s">
        <v>138</v>
      </c>
      <c r="G15" s="9" t="s">
        <v>151</v>
      </c>
      <c r="H15" s="59"/>
      <c r="I15" s="65" t="s">
        <v>152</v>
      </c>
      <c r="J15" s="31">
        <v>4</v>
      </c>
      <c r="K15" s="6" t="s">
        <v>153</v>
      </c>
      <c r="L15" s="6" t="s">
        <v>142</v>
      </c>
      <c r="M15" s="6" t="s">
        <v>61</v>
      </c>
      <c r="N15" s="6" t="s">
        <v>143</v>
      </c>
      <c r="O15" s="6" t="s">
        <v>144</v>
      </c>
      <c r="P15" s="6" t="s">
        <v>145</v>
      </c>
      <c r="Q15" s="32">
        <v>46069</v>
      </c>
      <c r="R15" s="33" t="s">
        <v>62</v>
      </c>
      <c r="S15" s="6" t="s">
        <v>54</v>
      </c>
      <c r="T15" s="6"/>
      <c r="U15" s="32">
        <v>46071</v>
      </c>
      <c r="V15" s="6" t="s">
        <v>63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</row>
    <row r="16" spans="1:151" ht="15.75" thickBot="1" x14ac:dyDescent="0.3">
      <c r="A16" s="6"/>
      <c r="B16" s="6" t="s">
        <v>154</v>
      </c>
      <c r="C16" s="32">
        <v>46067</v>
      </c>
      <c r="D16" s="32">
        <v>46067</v>
      </c>
      <c r="E16" s="6" t="s">
        <v>54</v>
      </c>
      <c r="F16" s="6" t="s">
        <v>155</v>
      </c>
      <c r="G16" s="9" t="s">
        <v>156</v>
      </c>
      <c r="H16" s="59"/>
      <c r="I16" s="65" t="s">
        <v>157</v>
      </c>
      <c r="J16" s="31">
        <v>2</v>
      </c>
      <c r="K16" s="6" t="s">
        <v>158</v>
      </c>
      <c r="L16" s="6" t="s">
        <v>159</v>
      </c>
      <c r="M16" s="6" t="s">
        <v>61</v>
      </c>
      <c r="N16" s="6" t="s">
        <v>160</v>
      </c>
      <c r="O16" s="6" t="s">
        <v>161</v>
      </c>
      <c r="P16" s="6" t="s">
        <v>162</v>
      </c>
      <c r="Q16" s="32">
        <v>46069</v>
      </c>
      <c r="R16" s="33" t="s">
        <v>62</v>
      </c>
      <c r="S16" s="6" t="s">
        <v>54</v>
      </c>
      <c r="T16" s="6"/>
      <c r="U16" s="32">
        <v>46071</v>
      </c>
      <c r="V16" s="6" t="s">
        <v>63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</row>
    <row r="17" spans="1:151" ht="65.25" thickBot="1" x14ac:dyDescent="0.3">
      <c r="A17" s="6"/>
      <c r="B17" s="28">
        <v>46065</v>
      </c>
      <c r="C17" s="32">
        <v>46068</v>
      </c>
      <c r="D17" s="32">
        <v>46068</v>
      </c>
      <c r="E17" s="6" t="s">
        <v>54</v>
      </c>
      <c r="F17" s="6" t="s">
        <v>163</v>
      </c>
      <c r="G17" s="6" t="s">
        <v>164</v>
      </c>
      <c r="H17" s="59" t="s">
        <v>165</v>
      </c>
      <c r="I17" s="65" t="s">
        <v>166</v>
      </c>
      <c r="J17" s="31">
        <v>1</v>
      </c>
      <c r="K17" s="6" t="s">
        <v>167</v>
      </c>
      <c r="L17" s="6" t="s">
        <v>168</v>
      </c>
      <c r="M17" s="6" t="s">
        <v>61</v>
      </c>
      <c r="N17" s="6" t="s">
        <v>118</v>
      </c>
      <c r="O17" s="6" t="s">
        <v>169</v>
      </c>
      <c r="P17" s="6" t="s">
        <v>170</v>
      </c>
      <c r="Q17" s="32">
        <v>46069</v>
      </c>
      <c r="R17" s="33" t="s">
        <v>62</v>
      </c>
      <c r="S17" s="6" t="s">
        <v>54</v>
      </c>
      <c r="T17" s="6"/>
      <c r="U17" s="32">
        <v>46071</v>
      </c>
      <c r="V17" s="6" t="s">
        <v>63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</row>
    <row r="18" spans="1:151" ht="15.75" thickBot="1" x14ac:dyDescent="0.3">
      <c r="A18" s="6"/>
      <c r="B18" s="28">
        <v>46065</v>
      </c>
      <c r="C18" s="32">
        <v>46068</v>
      </c>
      <c r="D18" s="32">
        <v>46068</v>
      </c>
      <c r="E18" s="6" t="s">
        <v>54</v>
      </c>
      <c r="F18" s="6" t="s">
        <v>171</v>
      </c>
      <c r="G18" s="9" t="s">
        <v>172</v>
      </c>
      <c r="H18" s="59"/>
      <c r="I18" s="65" t="s">
        <v>173</v>
      </c>
      <c r="J18" s="31">
        <v>2</v>
      </c>
      <c r="K18" s="6" t="s">
        <v>174</v>
      </c>
      <c r="L18" s="6" t="s">
        <v>175</v>
      </c>
      <c r="M18" s="6" t="s">
        <v>61</v>
      </c>
      <c r="N18" s="6" t="s">
        <v>72</v>
      </c>
      <c r="O18" s="6" t="s">
        <v>87</v>
      </c>
      <c r="P18" s="6" t="s">
        <v>176</v>
      </c>
      <c r="Q18" s="32">
        <v>46069</v>
      </c>
      <c r="R18" s="33" t="s">
        <v>62</v>
      </c>
      <c r="S18" s="6" t="s">
        <v>54</v>
      </c>
      <c r="T18" s="6"/>
      <c r="U18" s="32">
        <v>46071</v>
      </c>
      <c r="V18" s="6" t="s">
        <v>63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</row>
    <row r="19" spans="1:151" ht="103.5" thickBot="1" x14ac:dyDescent="0.3">
      <c r="A19" s="6"/>
      <c r="B19" s="32">
        <v>46067</v>
      </c>
      <c r="C19" s="32">
        <v>46068</v>
      </c>
      <c r="D19" s="32">
        <v>46068</v>
      </c>
      <c r="E19" s="6" t="s">
        <v>54</v>
      </c>
      <c r="F19" s="6" t="s">
        <v>177</v>
      </c>
      <c r="G19" s="6" t="s">
        <v>178</v>
      </c>
      <c r="H19" s="57" t="s">
        <v>554</v>
      </c>
      <c r="I19" s="65" t="s">
        <v>179</v>
      </c>
      <c r="J19" s="31">
        <v>6</v>
      </c>
      <c r="K19" s="6" t="s">
        <v>180</v>
      </c>
      <c r="L19" s="6" t="s">
        <v>181</v>
      </c>
      <c r="M19" s="6" t="s">
        <v>61</v>
      </c>
      <c r="N19" s="6" t="s">
        <v>182</v>
      </c>
      <c r="O19" s="6" t="s">
        <v>183</v>
      </c>
      <c r="P19" s="6" t="s">
        <v>184</v>
      </c>
      <c r="Q19" s="32">
        <v>46069</v>
      </c>
      <c r="R19" s="33" t="s">
        <v>62</v>
      </c>
      <c r="S19" s="6" t="s">
        <v>54</v>
      </c>
      <c r="T19" s="6"/>
      <c r="U19" s="32">
        <v>46071</v>
      </c>
      <c r="V19" s="6" t="s">
        <v>63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</row>
    <row r="20" spans="1:151" ht="15.75" thickBot="1" x14ac:dyDescent="0.3">
      <c r="A20" s="6"/>
      <c r="B20" s="28">
        <v>46065</v>
      </c>
      <c r="C20" s="32">
        <v>46067</v>
      </c>
      <c r="D20" s="32">
        <v>46067</v>
      </c>
      <c r="E20" s="6" t="s">
        <v>54</v>
      </c>
      <c r="F20" s="6" t="s">
        <v>185</v>
      </c>
      <c r="G20" s="9" t="s">
        <v>186</v>
      </c>
      <c r="H20" s="59"/>
      <c r="I20" s="65" t="s">
        <v>187</v>
      </c>
      <c r="J20" s="31">
        <v>3</v>
      </c>
      <c r="K20" s="6" t="s">
        <v>188</v>
      </c>
      <c r="L20" s="6" t="s">
        <v>189</v>
      </c>
      <c r="M20" s="6" t="s">
        <v>61</v>
      </c>
      <c r="N20" s="6" t="s">
        <v>102</v>
      </c>
      <c r="O20" s="6" t="s">
        <v>190</v>
      </c>
      <c r="P20" s="6" t="s">
        <v>191</v>
      </c>
      <c r="Q20" s="32">
        <v>46069</v>
      </c>
      <c r="R20" s="33" t="s">
        <v>62</v>
      </c>
      <c r="S20" s="6" t="s">
        <v>54</v>
      </c>
      <c r="T20" s="6"/>
      <c r="U20" s="32">
        <v>46071</v>
      </c>
      <c r="V20" s="6" t="s">
        <v>63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</row>
    <row r="21" spans="1:151" ht="15.75" thickBot="1" x14ac:dyDescent="0.3">
      <c r="A21" s="6"/>
      <c r="B21" s="28">
        <v>46064</v>
      </c>
      <c r="C21" s="32">
        <v>46067</v>
      </c>
      <c r="D21" s="32">
        <v>46067</v>
      </c>
      <c r="E21" s="6" t="s">
        <v>54</v>
      </c>
      <c r="F21" s="6" t="s">
        <v>192</v>
      </c>
      <c r="G21" s="9" t="s">
        <v>193</v>
      </c>
      <c r="H21" s="59"/>
      <c r="I21" s="65" t="s">
        <v>194</v>
      </c>
      <c r="J21" s="31">
        <v>1</v>
      </c>
      <c r="K21" s="6" t="s">
        <v>195</v>
      </c>
      <c r="L21" s="6" t="s">
        <v>196</v>
      </c>
      <c r="M21" s="6" t="s">
        <v>61</v>
      </c>
      <c r="N21" s="6" t="s">
        <v>197</v>
      </c>
      <c r="O21" s="6" t="s">
        <v>198</v>
      </c>
      <c r="P21" s="6" t="s">
        <v>199</v>
      </c>
      <c r="Q21" s="32">
        <v>46069</v>
      </c>
      <c r="R21" s="33" t="s">
        <v>62</v>
      </c>
      <c r="S21" s="6" t="s">
        <v>54</v>
      </c>
      <c r="T21" s="6"/>
      <c r="U21" s="32">
        <v>46071</v>
      </c>
      <c r="V21" s="6" t="s">
        <v>63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</row>
    <row r="22" spans="1:151" ht="103.5" thickBot="1" x14ac:dyDescent="0.3">
      <c r="A22" s="6"/>
      <c r="B22" s="32">
        <v>46067</v>
      </c>
      <c r="C22" s="32">
        <v>46068</v>
      </c>
      <c r="D22" s="32">
        <v>46068</v>
      </c>
      <c r="E22" s="6" t="s">
        <v>54</v>
      </c>
      <c r="F22" s="6" t="s">
        <v>200</v>
      </c>
      <c r="G22" s="6" t="s">
        <v>201</v>
      </c>
      <c r="H22" s="58" t="s">
        <v>202</v>
      </c>
      <c r="I22" s="61" t="s">
        <v>203</v>
      </c>
      <c r="J22" s="31">
        <v>5</v>
      </c>
      <c r="K22" s="6" t="s">
        <v>204</v>
      </c>
      <c r="L22" s="6" t="s">
        <v>205</v>
      </c>
      <c r="M22" s="6" t="s">
        <v>61</v>
      </c>
      <c r="N22" s="6" t="s">
        <v>206</v>
      </c>
      <c r="O22" s="6" t="s">
        <v>207</v>
      </c>
      <c r="P22" s="6" t="s">
        <v>208</v>
      </c>
      <c r="Q22" s="32">
        <v>46069</v>
      </c>
      <c r="R22" s="33" t="s">
        <v>62</v>
      </c>
      <c r="S22" s="6" t="s">
        <v>54</v>
      </c>
      <c r="T22" s="6"/>
      <c r="U22" s="32">
        <v>46071</v>
      </c>
      <c r="V22" s="6" t="s">
        <v>63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</row>
    <row r="23" spans="1:151" ht="15.75" thickBot="1" x14ac:dyDescent="0.3">
      <c r="A23" s="6"/>
      <c r="B23" s="28">
        <v>46064</v>
      </c>
      <c r="C23" s="32">
        <v>46068</v>
      </c>
      <c r="D23" s="32">
        <v>46068</v>
      </c>
      <c r="E23" s="6" t="s">
        <v>54</v>
      </c>
      <c r="F23" s="6" t="s">
        <v>209</v>
      </c>
      <c r="G23" s="9" t="s">
        <v>210</v>
      </c>
      <c r="H23" s="59"/>
      <c r="I23" s="65" t="s">
        <v>211</v>
      </c>
      <c r="J23" s="31">
        <v>2</v>
      </c>
      <c r="K23" s="6" t="s">
        <v>212</v>
      </c>
      <c r="L23" s="6" t="s">
        <v>213</v>
      </c>
      <c r="M23" s="6" t="s">
        <v>61</v>
      </c>
      <c r="N23" s="6" t="s">
        <v>214</v>
      </c>
      <c r="O23" s="6" t="s">
        <v>215</v>
      </c>
      <c r="P23" s="6" t="s">
        <v>216</v>
      </c>
      <c r="Q23" s="32">
        <v>46069</v>
      </c>
      <c r="R23" s="33" t="s">
        <v>62</v>
      </c>
      <c r="S23" s="6" t="s">
        <v>54</v>
      </c>
      <c r="T23" s="6"/>
      <c r="U23" s="32">
        <v>46071</v>
      </c>
      <c r="V23" s="6" t="s">
        <v>63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</row>
    <row r="24" spans="1:151" ht="15.75" thickBot="1" x14ac:dyDescent="0.3">
      <c r="A24" s="6"/>
      <c r="B24" s="32">
        <v>46067</v>
      </c>
      <c r="C24" s="32">
        <v>46068</v>
      </c>
      <c r="D24" s="32">
        <v>46068</v>
      </c>
      <c r="E24" s="6" t="s">
        <v>54</v>
      </c>
      <c r="F24" s="6" t="s">
        <v>217</v>
      </c>
      <c r="G24" s="9" t="s">
        <v>218</v>
      </c>
      <c r="H24" s="59"/>
      <c r="I24" s="65" t="s">
        <v>219</v>
      </c>
      <c r="J24" s="31">
        <v>5</v>
      </c>
      <c r="K24" s="6" t="s">
        <v>220</v>
      </c>
      <c r="L24" s="6" t="s">
        <v>142</v>
      </c>
      <c r="M24" s="6" t="s">
        <v>61</v>
      </c>
      <c r="N24" s="6" t="s">
        <v>221</v>
      </c>
      <c r="O24" s="6" t="s">
        <v>222</v>
      </c>
      <c r="P24" s="6" t="s">
        <v>223</v>
      </c>
      <c r="Q24" s="32">
        <v>46071</v>
      </c>
      <c r="R24" s="33" t="s">
        <v>62</v>
      </c>
      <c r="S24" s="6" t="s">
        <v>54</v>
      </c>
      <c r="T24" s="6"/>
      <c r="U24" s="32">
        <v>46071</v>
      </c>
      <c r="V24" s="6" t="s">
        <v>63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</row>
    <row r="25" spans="1:151" ht="78" thickBot="1" x14ac:dyDescent="0.3">
      <c r="A25" s="6"/>
      <c r="B25" s="32">
        <v>46067</v>
      </c>
      <c r="C25" s="32">
        <v>46068</v>
      </c>
      <c r="D25" s="32">
        <v>46068</v>
      </c>
      <c r="E25" s="6" t="s">
        <v>54</v>
      </c>
      <c r="F25" s="6" t="s">
        <v>224</v>
      </c>
      <c r="G25" s="6" t="s">
        <v>225</v>
      </c>
      <c r="H25" s="59" t="s">
        <v>226</v>
      </c>
      <c r="I25" s="65" t="s">
        <v>227</v>
      </c>
      <c r="J25" s="31">
        <v>2</v>
      </c>
      <c r="K25" s="6" t="s">
        <v>228</v>
      </c>
      <c r="L25" s="6" t="s">
        <v>229</v>
      </c>
      <c r="M25" s="6"/>
      <c r="N25" s="6" t="s">
        <v>230</v>
      </c>
      <c r="O25" s="6" t="s">
        <v>87</v>
      </c>
      <c r="P25" s="6" t="s">
        <v>231</v>
      </c>
      <c r="Q25" s="32">
        <v>46071</v>
      </c>
      <c r="R25" s="33" t="s">
        <v>62</v>
      </c>
      <c r="S25" s="6" t="s">
        <v>54</v>
      </c>
      <c r="T25" s="6"/>
      <c r="U25" s="32">
        <v>46071</v>
      </c>
      <c r="V25" s="6" t="s">
        <v>63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</row>
    <row r="26" spans="1:151" ht="65.25" thickBot="1" x14ac:dyDescent="0.3">
      <c r="A26" s="6"/>
      <c r="B26" s="32">
        <v>46068</v>
      </c>
      <c r="C26" s="32">
        <v>46069</v>
      </c>
      <c r="D26" s="32">
        <v>46069</v>
      </c>
      <c r="E26" s="6" t="s">
        <v>54</v>
      </c>
      <c r="F26" s="6" t="s">
        <v>232</v>
      </c>
      <c r="G26" s="6" t="s">
        <v>233</v>
      </c>
      <c r="H26" s="59" t="s">
        <v>234</v>
      </c>
      <c r="I26" s="63" t="s">
        <v>235</v>
      </c>
      <c r="J26" s="31">
        <v>4</v>
      </c>
      <c r="K26" s="6" t="s">
        <v>236</v>
      </c>
      <c r="L26" s="6" t="s">
        <v>237</v>
      </c>
      <c r="M26" s="6"/>
      <c r="N26" s="6" t="s">
        <v>102</v>
      </c>
      <c r="O26" s="6" t="s">
        <v>238</v>
      </c>
      <c r="P26" s="6" t="s">
        <v>239</v>
      </c>
      <c r="Q26" s="32">
        <v>46071</v>
      </c>
      <c r="R26" s="33" t="s">
        <v>62</v>
      </c>
      <c r="S26" s="6" t="s">
        <v>54</v>
      </c>
      <c r="T26" s="6"/>
      <c r="U26" s="32">
        <v>46071</v>
      </c>
      <c r="V26" s="6" t="s">
        <v>63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</row>
    <row r="27" spans="1:151" ht="192.75" thickBot="1" x14ac:dyDescent="0.3">
      <c r="A27" s="6"/>
      <c r="B27" s="28">
        <v>46027</v>
      </c>
      <c r="C27" s="28">
        <v>46028</v>
      </c>
      <c r="D27" s="28">
        <v>46028</v>
      </c>
      <c r="E27" s="6" t="s">
        <v>54</v>
      </c>
      <c r="F27" s="6" t="s">
        <v>240</v>
      </c>
      <c r="G27" s="6" t="s">
        <v>241</v>
      </c>
      <c r="H27" s="58" t="s">
        <v>242</v>
      </c>
      <c r="I27" s="61" t="s">
        <v>243</v>
      </c>
      <c r="J27" s="31">
        <v>3</v>
      </c>
      <c r="K27" s="6" t="s">
        <v>244</v>
      </c>
      <c r="L27" s="6" t="s">
        <v>93</v>
      </c>
      <c r="M27" s="6" t="s">
        <v>245</v>
      </c>
      <c r="N27" s="6" t="s">
        <v>246</v>
      </c>
      <c r="O27" s="6" t="s">
        <v>135</v>
      </c>
      <c r="P27" s="6" t="s">
        <v>247</v>
      </c>
      <c r="Q27" s="32">
        <v>46071</v>
      </c>
      <c r="R27" s="33" t="s">
        <v>62</v>
      </c>
      <c r="S27" s="6" t="s">
        <v>54</v>
      </c>
      <c r="T27" s="6"/>
      <c r="U27" s="32">
        <v>46071</v>
      </c>
      <c r="V27" s="6" t="s">
        <v>63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</row>
    <row r="28" spans="1:151" ht="15.75" thickBot="1" x14ac:dyDescent="0.3">
      <c r="A28" s="6"/>
      <c r="B28" s="28">
        <v>46065</v>
      </c>
      <c r="C28" s="32">
        <v>46069</v>
      </c>
      <c r="D28" s="32">
        <v>46069</v>
      </c>
      <c r="E28" s="6" t="s">
        <v>54</v>
      </c>
      <c r="F28" s="6" t="s">
        <v>248</v>
      </c>
      <c r="G28" s="6" t="s">
        <v>249</v>
      </c>
      <c r="H28" s="57" t="s">
        <v>250</v>
      </c>
      <c r="I28" s="63" t="s">
        <v>251</v>
      </c>
      <c r="J28" s="31">
        <v>1</v>
      </c>
      <c r="K28" s="6" t="s">
        <v>252</v>
      </c>
      <c r="L28" s="6" t="s">
        <v>159</v>
      </c>
      <c r="M28" s="6" t="s">
        <v>245</v>
      </c>
      <c r="N28" s="6" t="s">
        <v>160</v>
      </c>
      <c r="O28" s="6" t="s">
        <v>161</v>
      </c>
      <c r="P28" s="6" t="s">
        <v>253</v>
      </c>
      <c r="Q28" s="32">
        <v>46071</v>
      </c>
      <c r="R28" s="33" t="s">
        <v>62</v>
      </c>
      <c r="S28" s="6" t="s">
        <v>54</v>
      </c>
      <c r="T28" s="6"/>
      <c r="U28" s="32">
        <v>46071</v>
      </c>
      <c r="V28" s="6" t="s">
        <v>63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</row>
    <row r="29" spans="1:151" ht="15.75" thickBot="1" x14ac:dyDescent="0.3">
      <c r="A29" s="6"/>
      <c r="B29" s="32">
        <v>46067</v>
      </c>
      <c r="C29" s="32">
        <v>46069</v>
      </c>
      <c r="D29" s="32">
        <v>46069</v>
      </c>
      <c r="E29" s="6" t="s">
        <v>54</v>
      </c>
      <c r="F29" s="6" t="s">
        <v>254</v>
      </c>
      <c r="G29" s="9" t="s">
        <v>255</v>
      </c>
      <c r="H29" s="59"/>
      <c r="I29" s="63" t="s">
        <v>256</v>
      </c>
      <c r="J29" s="31">
        <v>4</v>
      </c>
      <c r="K29" s="6" t="s">
        <v>257</v>
      </c>
      <c r="L29" s="6" t="s">
        <v>258</v>
      </c>
      <c r="M29" s="6" t="s">
        <v>245</v>
      </c>
      <c r="N29" s="6" t="s">
        <v>259</v>
      </c>
      <c r="O29" s="6" t="s">
        <v>111</v>
      </c>
      <c r="P29" s="6" t="s">
        <v>260</v>
      </c>
      <c r="Q29" s="32">
        <v>46071</v>
      </c>
      <c r="R29" s="33" t="s">
        <v>62</v>
      </c>
      <c r="S29" s="6" t="s">
        <v>54</v>
      </c>
      <c r="T29" s="6"/>
      <c r="U29" s="32">
        <v>46071</v>
      </c>
      <c r="V29" s="6" t="s">
        <v>63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</row>
    <row r="30" spans="1:151" ht="15.75" thickBot="1" x14ac:dyDescent="0.3">
      <c r="A30" s="6"/>
      <c r="B30" s="32">
        <v>46067</v>
      </c>
      <c r="C30" s="32">
        <v>46069</v>
      </c>
      <c r="D30" s="32">
        <v>46069</v>
      </c>
      <c r="E30" s="6" t="s">
        <v>54</v>
      </c>
      <c r="F30" s="6" t="s">
        <v>261</v>
      </c>
      <c r="G30" s="9" t="s">
        <v>262</v>
      </c>
      <c r="H30" s="59"/>
      <c r="I30" s="63" t="s">
        <v>263</v>
      </c>
      <c r="J30" s="31">
        <v>1</v>
      </c>
      <c r="K30" s="6" t="s">
        <v>264</v>
      </c>
      <c r="L30" s="6" t="s">
        <v>265</v>
      </c>
      <c r="M30" s="6" t="s">
        <v>245</v>
      </c>
      <c r="N30" s="6" t="s">
        <v>266</v>
      </c>
      <c r="O30" s="6" t="s">
        <v>222</v>
      </c>
      <c r="P30" s="6" t="s">
        <v>267</v>
      </c>
      <c r="Q30" s="32">
        <v>46071</v>
      </c>
      <c r="R30" s="33" t="s">
        <v>62</v>
      </c>
      <c r="S30" s="6" t="s">
        <v>54</v>
      </c>
      <c r="T30" s="6"/>
      <c r="U30" s="32">
        <v>46071</v>
      </c>
      <c r="V30" s="6" t="s">
        <v>63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</row>
    <row r="31" spans="1:151" ht="15.75" thickBot="1" x14ac:dyDescent="0.3">
      <c r="A31" s="6"/>
      <c r="B31" s="32">
        <v>46068</v>
      </c>
      <c r="C31" s="32">
        <v>46070</v>
      </c>
      <c r="D31" s="32">
        <v>46070</v>
      </c>
      <c r="E31" s="6" t="s">
        <v>54</v>
      </c>
      <c r="F31" s="6" t="s">
        <v>268</v>
      </c>
      <c r="G31" s="9" t="s">
        <v>269</v>
      </c>
      <c r="H31" s="59"/>
      <c r="I31" s="63" t="s">
        <v>270</v>
      </c>
      <c r="J31" s="31">
        <v>6</v>
      </c>
      <c r="K31" s="6" t="s">
        <v>271</v>
      </c>
      <c r="L31" s="6" t="s">
        <v>272</v>
      </c>
      <c r="M31" s="6" t="s">
        <v>245</v>
      </c>
      <c r="N31" s="6" t="s">
        <v>273</v>
      </c>
      <c r="O31" s="6" t="s">
        <v>135</v>
      </c>
      <c r="P31" s="6" t="s">
        <v>274</v>
      </c>
      <c r="Q31" s="32">
        <v>46071</v>
      </c>
      <c r="R31" s="33" t="s">
        <v>62</v>
      </c>
      <c r="S31" s="6" t="s">
        <v>54</v>
      </c>
      <c r="T31" s="6"/>
      <c r="U31" s="32">
        <v>46071</v>
      </c>
      <c r="V31" s="6" t="s">
        <v>63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</row>
  </sheetData>
  <hyperlinks>
    <hyperlink ref="A1" r:id="rId1" display="http://s.no/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A14" workbookViewId="0">
      <selection activeCell="C1" sqref="C1:C30"/>
    </sheetView>
  </sheetViews>
  <sheetFormatPr defaultRowHeight="15" x14ac:dyDescent="0.25"/>
  <cols>
    <col min="2" max="2" width="42.85546875" bestFit="1" customWidth="1"/>
  </cols>
  <sheetData>
    <row r="1" spans="1:9" ht="15.75" thickBot="1" x14ac:dyDescent="0.3">
      <c r="A1">
        <v>1</v>
      </c>
      <c r="B1" s="61" t="s">
        <v>551</v>
      </c>
      <c r="C1" t="str">
        <f>"MD "&amp;A1&amp;"_"&amp;LEFT(B1,50)</f>
        <v>MD 1_ASWIN_VAISHALI_P_N</v>
      </c>
      <c r="I1" s="61" t="s">
        <v>551</v>
      </c>
    </row>
    <row r="2" spans="1:9" ht="15.75" thickBot="1" x14ac:dyDescent="0.3">
      <c r="A2">
        <v>2</v>
      </c>
      <c r="B2" s="30" t="s">
        <v>482</v>
      </c>
      <c r="C2" t="str">
        <f t="shared" ref="C2:C30" si="0">"MD "&amp;A2&amp;"_"&amp;LEFT(B2,50)</f>
        <v>MD 2_AAFEEN_HUSSAIN_(billed_only_for_4_embryos)</v>
      </c>
      <c r="I2" s="61" t="s">
        <v>58</v>
      </c>
    </row>
    <row r="3" spans="1:9" ht="15.75" thickBot="1" x14ac:dyDescent="0.3">
      <c r="A3">
        <v>3</v>
      </c>
      <c r="B3" s="6" t="s">
        <v>483</v>
      </c>
      <c r="C3" t="str">
        <f t="shared" si="0"/>
        <v>MD 3_AARUSHI_SAXENA</v>
      </c>
      <c r="I3" s="61" t="s">
        <v>69</v>
      </c>
    </row>
    <row r="4" spans="1:9" ht="15.75" thickBot="1" x14ac:dyDescent="0.3">
      <c r="A4">
        <v>4</v>
      </c>
      <c r="B4" s="6" t="s">
        <v>77</v>
      </c>
      <c r="C4" t="str">
        <f t="shared" si="0"/>
        <v>MD 4_TANYA</v>
      </c>
      <c r="I4" s="61" t="s">
        <v>77</v>
      </c>
    </row>
    <row r="5" spans="1:9" ht="15.75" thickBot="1" x14ac:dyDescent="0.3">
      <c r="A5">
        <v>5</v>
      </c>
      <c r="B5" s="6" t="s">
        <v>484</v>
      </c>
      <c r="C5" t="str">
        <f t="shared" si="0"/>
        <v>MD 5_KALAIVANI_V</v>
      </c>
      <c r="I5" s="61" t="s">
        <v>83</v>
      </c>
    </row>
    <row r="6" spans="1:9" ht="15.75" thickBot="1" x14ac:dyDescent="0.3">
      <c r="A6">
        <v>6</v>
      </c>
      <c r="B6" s="6" t="s">
        <v>485</v>
      </c>
      <c r="C6" t="str">
        <f t="shared" si="0"/>
        <v>MD 6_ANJALI_SRIVASTAVA</v>
      </c>
      <c r="I6" s="61" t="s">
        <v>91</v>
      </c>
    </row>
    <row r="7" spans="1:9" ht="15.75" thickBot="1" x14ac:dyDescent="0.3">
      <c r="A7">
        <v>7</v>
      </c>
      <c r="B7" s="6" t="s">
        <v>486</v>
      </c>
      <c r="C7" t="str">
        <f t="shared" si="0"/>
        <v>MD 7_NISHA_SEKHAR_V</v>
      </c>
      <c r="I7" s="61" t="s">
        <v>99</v>
      </c>
    </row>
    <row r="8" spans="1:9" ht="15.75" thickBot="1" x14ac:dyDescent="0.3">
      <c r="A8">
        <v>8</v>
      </c>
      <c r="B8" s="6" t="s">
        <v>487</v>
      </c>
      <c r="C8" t="str">
        <f t="shared" si="0"/>
        <v>MD 8_SHAIK_RESHMA</v>
      </c>
      <c r="I8" s="61" t="s">
        <v>107</v>
      </c>
    </row>
    <row r="9" spans="1:9" ht="15.75" thickBot="1" x14ac:dyDescent="0.3">
      <c r="A9">
        <v>9</v>
      </c>
      <c r="B9" s="6" t="s">
        <v>488</v>
      </c>
      <c r="C9" t="str">
        <f t="shared" si="0"/>
        <v>MD 9_HEMALATHA_BANGALORE_SHEKAR</v>
      </c>
      <c r="I9" s="61" t="s">
        <v>115</v>
      </c>
    </row>
    <row r="10" spans="1:9" ht="15.75" thickBot="1" x14ac:dyDescent="0.3">
      <c r="A10">
        <v>10</v>
      </c>
      <c r="B10" s="34" t="s">
        <v>506</v>
      </c>
      <c r="C10" t="str">
        <f t="shared" si="0"/>
        <v>MD 10_DR_AHEMADI_BEGUM_PATVEGHAR_(PGT-SR)</v>
      </c>
      <c r="I10" s="61" t="s">
        <v>123</v>
      </c>
    </row>
    <row r="11" spans="1:9" ht="15.75" thickBot="1" x14ac:dyDescent="0.3">
      <c r="A11">
        <v>11</v>
      </c>
      <c r="B11" s="6" t="s">
        <v>489</v>
      </c>
      <c r="C11" t="str">
        <f t="shared" si="0"/>
        <v>MD 11_SHYAMALA_PANNEER_SELVAM</v>
      </c>
      <c r="I11" s="61" t="s">
        <v>132</v>
      </c>
    </row>
    <row r="12" spans="1:9" ht="15.75" thickBot="1" x14ac:dyDescent="0.3">
      <c r="A12">
        <v>12</v>
      </c>
      <c r="B12" s="6" t="s">
        <v>140</v>
      </c>
      <c r="C12" t="str">
        <f t="shared" si="0"/>
        <v>MD 12_SOWMYA</v>
      </c>
      <c r="I12" s="61" t="s">
        <v>140</v>
      </c>
    </row>
    <row r="13" spans="1:9" ht="15.75" thickBot="1" x14ac:dyDescent="0.3">
      <c r="A13">
        <v>13</v>
      </c>
      <c r="B13" s="6" t="s">
        <v>490</v>
      </c>
      <c r="C13" t="str">
        <f t="shared" si="0"/>
        <v>MD 13_S_H_MUNIRA_BANU</v>
      </c>
      <c r="I13" s="61" t="s">
        <v>148</v>
      </c>
    </row>
    <row r="14" spans="1:9" ht="15.75" thickBot="1" x14ac:dyDescent="0.3">
      <c r="A14">
        <v>14</v>
      </c>
      <c r="B14" s="6" t="s">
        <v>491</v>
      </c>
      <c r="C14" t="str">
        <f t="shared" si="0"/>
        <v>MD 14_FLORA_APARNA</v>
      </c>
      <c r="I14" s="62" t="s">
        <v>152</v>
      </c>
    </row>
    <row r="15" spans="1:9" ht="15.75" thickBot="1" x14ac:dyDescent="0.3">
      <c r="A15">
        <v>15</v>
      </c>
      <c r="B15" s="6" t="s">
        <v>492</v>
      </c>
      <c r="C15" t="str">
        <f t="shared" si="0"/>
        <v>MD 15_NISHA_KUMARI</v>
      </c>
      <c r="I15" s="62" t="s">
        <v>157</v>
      </c>
    </row>
    <row r="16" spans="1:9" ht="15.75" thickBot="1" x14ac:dyDescent="0.3">
      <c r="A16">
        <v>16</v>
      </c>
      <c r="B16" s="6" t="s">
        <v>493</v>
      </c>
      <c r="C16" t="str">
        <f t="shared" si="0"/>
        <v>MD 16_NABANITA_JENA</v>
      </c>
      <c r="I16" s="62" t="s">
        <v>166</v>
      </c>
    </row>
    <row r="17" spans="1:9" ht="15.75" thickBot="1" x14ac:dyDescent="0.3">
      <c r="A17">
        <v>17</v>
      </c>
      <c r="B17" s="6" t="s">
        <v>494</v>
      </c>
      <c r="C17" t="str">
        <f t="shared" si="0"/>
        <v>MD 17_SUDIPTA_SAHU</v>
      </c>
      <c r="I17" s="62" t="s">
        <v>173</v>
      </c>
    </row>
    <row r="18" spans="1:9" ht="15.75" thickBot="1" x14ac:dyDescent="0.3">
      <c r="A18">
        <v>18</v>
      </c>
      <c r="B18" s="6" t="s">
        <v>495</v>
      </c>
      <c r="C18" t="str">
        <f t="shared" si="0"/>
        <v>MD 18_PRAPTI_GUPTA</v>
      </c>
      <c r="I18" s="62" t="s">
        <v>179</v>
      </c>
    </row>
    <row r="19" spans="1:9" ht="15.75" thickBot="1" x14ac:dyDescent="0.3">
      <c r="A19">
        <v>19</v>
      </c>
      <c r="B19" s="6" t="s">
        <v>496</v>
      </c>
      <c r="C19" t="str">
        <f t="shared" si="0"/>
        <v>MD 19_MANPREET_NANDA</v>
      </c>
      <c r="I19" s="62" t="s">
        <v>187</v>
      </c>
    </row>
    <row r="20" spans="1:9" ht="15.75" thickBot="1" x14ac:dyDescent="0.3">
      <c r="A20">
        <v>20</v>
      </c>
      <c r="B20" s="6" t="s">
        <v>497</v>
      </c>
      <c r="C20" t="str">
        <f t="shared" si="0"/>
        <v>MD 20_PARINITA_MOHITE</v>
      </c>
      <c r="I20" s="62" t="s">
        <v>194</v>
      </c>
    </row>
    <row r="21" spans="1:9" ht="15.75" thickBot="1" x14ac:dyDescent="0.3">
      <c r="A21">
        <v>21</v>
      </c>
      <c r="B21" s="6" t="s">
        <v>507</v>
      </c>
      <c r="C21" t="str">
        <f t="shared" si="0"/>
        <v>MD 21_HELEN_GEBRESLASE_(FASTRACK)</v>
      </c>
      <c r="I21" s="61" t="s">
        <v>203</v>
      </c>
    </row>
    <row r="22" spans="1:9" ht="15.75" thickBot="1" x14ac:dyDescent="0.3">
      <c r="A22">
        <v>22</v>
      </c>
      <c r="B22" s="6" t="s">
        <v>498</v>
      </c>
      <c r="C22" t="str">
        <f t="shared" si="0"/>
        <v>MD 22_SMREEN_FATIMA</v>
      </c>
      <c r="I22" s="62" t="s">
        <v>211</v>
      </c>
    </row>
    <row r="23" spans="1:9" ht="15.75" thickBot="1" x14ac:dyDescent="0.3">
      <c r="A23">
        <v>23</v>
      </c>
      <c r="B23" s="6" t="s">
        <v>499</v>
      </c>
      <c r="C23" t="str">
        <f t="shared" si="0"/>
        <v>MD 23_ASHWINEE_LATCHAYYA</v>
      </c>
      <c r="I23" s="62" t="s">
        <v>219</v>
      </c>
    </row>
    <row r="24" spans="1:9" ht="15.75" thickBot="1" x14ac:dyDescent="0.3">
      <c r="A24">
        <v>24</v>
      </c>
      <c r="B24" s="6" t="s">
        <v>500</v>
      </c>
      <c r="C24" t="str">
        <f t="shared" si="0"/>
        <v>MD 24_DEBASHREE_CHAKRABORTY</v>
      </c>
      <c r="I24" s="62" t="s">
        <v>227</v>
      </c>
    </row>
    <row r="25" spans="1:9" ht="15.75" thickBot="1" x14ac:dyDescent="0.3">
      <c r="A25">
        <v>25</v>
      </c>
      <c r="B25" s="6" t="s">
        <v>235</v>
      </c>
      <c r="C25" t="str">
        <f t="shared" si="0"/>
        <v>MD 25_GANGA</v>
      </c>
      <c r="I25" s="63" t="s">
        <v>235</v>
      </c>
    </row>
    <row r="26" spans="1:9" ht="15.75" thickBot="1" x14ac:dyDescent="0.3">
      <c r="A26">
        <v>26</v>
      </c>
      <c r="B26" s="29" t="s">
        <v>501</v>
      </c>
      <c r="C26" t="str">
        <f t="shared" si="0"/>
        <v>MD 26_UPPALA_SUJITHA_(FASTRACK)</v>
      </c>
      <c r="I26" s="61" t="s">
        <v>243</v>
      </c>
    </row>
    <row r="27" spans="1:9" ht="15.75" thickBot="1" x14ac:dyDescent="0.3">
      <c r="A27">
        <v>27</v>
      </c>
      <c r="B27" s="6" t="s">
        <v>502</v>
      </c>
      <c r="C27" t="str">
        <f t="shared" si="0"/>
        <v>MD 27_AYESHA_JABEEN_QURAISHI_(REBIOPSY)</v>
      </c>
      <c r="I27" s="63" t="s">
        <v>251</v>
      </c>
    </row>
    <row r="28" spans="1:9" ht="15.75" thickBot="1" x14ac:dyDescent="0.3">
      <c r="A28">
        <v>28</v>
      </c>
      <c r="B28" s="6" t="s">
        <v>503</v>
      </c>
      <c r="C28" t="str">
        <f t="shared" si="0"/>
        <v>MD 28_SOWMYA_REDDY_V</v>
      </c>
      <c r="I28" s="63" t="s">
        <v>256</v>
      </c>
    </row>
    <row r="29" spans="1:9" ht="15.75" thickBot="1" x14ac:dyDescent="0.3">
      <c r="A29">
        <v>29</v>
      </c>
      <c r="B29" s="6" t="s">
        <v>504</v>
      </c>
      <c r="C29" t="str">
        <f t="shared" si="0"/>
        <v>MD 29_BABITA_MISHRA</v>
      </c>
      <c r="I29" s="63" t="s">
        <v>263</v>
      </c>
    </row>
    <row r="30" spans="1:9" ht="15.75" thickBot="1" x14ac:dyDescent="0.3">
      <c r="A30">
        <v>30</v>
      </c>
      <c r="B30" s="6" t="s">
        <v>505</v>
      </c>
      <c r="C30" t="str">
        <f t="shared" si="0"/>
        <v>MD 30_PRECILLA_EZHILMATI</v>
      </c>
      <c r="I30" s="63" t="s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opLeftCell="A9" workbookViewId="0">
      <selection activeCell="B34" sqref="B34"/>
    </sheetView>
  </sheetViews>
  <sheetFormatPr defaultRowHeight="15" x14ac:dyDescent="0.25"/>
  <cols>
    <col min="1" max="1" width="27.7109375" style="68" customWidth="1"/>
  </cols>
  <sheetData>
    <row r="1" spans="1:1" ht="15.75" thickBot="1" x14ac:dyDescent="0.3">
      <c r="A1" s="66" t="s">
        <v>17</v>
      </c>
    </row>
    <row r="2" spans="1:1" x14ac:dyDescent="0.25">
      <c r="A2" s="67"/>
    </row>
    <row r="3" spans="1:1" x14ac:dyDescent="0.25">
      <c r="A3" s="67"/>
    </row>
    <row r="4" spans="1:1" ht="15.75" thickBot="1" x14ac:dyDescent="0.3"/>
    <row r="5" spans="1:1" ht="15.75" thickBot="1" x14ac:dyDescent="0.3">
      <c r="A5" s="69" t="s">
        <v>543</v>
      </c>
    </row>
    <row r="6" spans="1:1" ht="15.75" thickBot="1" x14ac:dyDescent="0.3">
      <c r="A6" s="69" t="s">
        <v>58</v>
      </c>
    </row>
    <row r="7" spans="1:1" ht="15.75" thickBot="1" x14ac:dyDescent="0.3">
      <c r="A7" s="69" t="s">
        <v>69</v>
      </c>
    </row>
    <row r="8" spans="1:1" ht="15.75" thickBot="1" x14ac:dyDescent="0.3">
      <c r="A8" s="69" t="s">
        <v>77</v>
      </c>
    </row>
    <row r="9" spans="1:1" ht="15.75" thickBot="1" x14ac:dyDescent="0.3">
      <c r="A9" s="69" t="s">
        <v>83</v>
      </c>
    </row>
    <row r="10" spans="1:1" ht="15.75" thickBot="1" x14ac:dyDescent="0.3">
      <c r="A10" s="69" t="s">
        <v>91</v>
      </c>
    </row>
    <row r="11" spans="1:1" ht="15.75" thickBot="1" x14ac:dyDescent="0.3">
      <c r="A11" s="69" t="s">
        <v>99</v>
      </c>
    </row>
    <row r="12" spans="1:1" ht="15.75" thickBot="1" x14ac:dyDescent="0.3">
      <c r="A12" s="69" t="s">
        <v>107</v>
      </c>
    </row>
    <row r="13" spans="1:1" ht="15.75" thickBot="1" x14ac:dyDescent="0.3">
      <c r="A13" s="69" t="s">
        <v>115</v>
      </c>
    </row>
    <row r="14" spans="1:1" ht="15.75" thickBot="1" x14ac:dyDescent="0.3">
      <c r="A14" s="69" t="s">
        <v>123</v>
      </c>
    </row>
    <row r="15" spans="1:1" ht="15.75" thickBot="1" x14ac:dyDescent="0.3">
      <c r="A15" s="69" t="s">
        <v>132</v>
      </c>
    </row>
    <row r="16" spans="1:1" ht="15.75" thickBot="1" x14ac:dyDescent="0.3">
      <c r="A16" s="69" t="s">
        <v>140</v>
      </c>
    </row>
    <row r="17" spans="1:2" ht="15.75" thickBot="1" x14ac:dyDescent="0.3">
      <c r="A17" s="69" t="s">
        <v>148</v>
      </c>
    </row>
    <row r="18" spans="1:2" ht="15.75" thickBot="1" x14ac:dyDescent="0.3">
      <c r="A18" s="69" t="s">
        <v>152</v>
      </c>
    </row>
    <row r="19" spans="1:2" ht="15.75" thickBot="1" x14ac:dyDescent="0.3">
      <c r="A19" s="69" t="s">
        <v>157</v>
      </c>
    </row>
    <row r="20" spans="1:2" ht="15.75" thickBot="1" x14ac:dyDescent="0.3">
      <c r="A20" s="69" t="s">
        <v>166</v>
      </c>
    </row>
    <row r="21" spans="1:2" ht="15.75" thickBot="1" x14ac:dyDescent="0.3">
      <c r="A21" s="69" t="s">
        <v>173</v>
      </c>
    </row>
    <row r="22" spans="1:2" ht="15.75" thickBot="1" x14ac:dyDescent="0.3">
      <c r="A22" s="69" t="s">
        <v>179</v>
      </c>
    </row>
    <row r="23" spans="1:2" ht="15.75" thickBot="1" x14ac:dyDescent="0.3">
      <c r="A23" s="69" t="s">
        <v>187</v>
      </c>
    </row>
    <row r="24" spans="1:2" ht="15.75" thickBot="1" x14ac:dyDescent="0.3">
      <c r="A24" s="69" t="s">
        <v>194</v>
      </c>
    </row>
    <row r="25" spans="1:2" ht="15.75" thickBot="1" x14ac:dyDescent="0.3">
      <c r="A25" s="69" t="s">
        <v>203</v>
      </c>
      <c r="B25" t="s">
        <v>563</v>
      </c>
    </row>
    <row r="26" spans="1:2" ht="15.75" thickBot="1" x14ac:dyDescent="0.3">
      <c r="A26" s="69" t="s">
        <v>211</v>
      </c>
    </row>
    <row r="27" spans="1:2" ht="15.75" thickBot="1" x14ac:dyDescent="0.3">
      <c r="A27" s="69" t="s">
        <v>219</v>
      </c>
    </row>
    <row r="28" spans="1:2" ht="15.75" thickBot="1" x14ac:dyDescent="0.3">
      <c r="A28" s="69" t="s">
        <v>227</v>
      </c>
    </row>
    <row r="29" spans="1:2" ht="15.75" thickBot="1" x14ac:dyDescent="0.3">
      <c r="A29" s="69" t="s">
        <v>235</v>
      </c>
    </row>
    <row r="30" spans="1:2" ht="15.75" thickBot="1" x14ac:dyDescent="0.3">
      <c r="A30" s="69" t="s">
        <v>243</v>
      </c>
      <c r="B30" t="s">
        <v>558</v>
      </c>
    </row>
    <row r="31" spans="1:2" ht="15.75" thickBot="1" x14ac:dyDescent="0.3">
      <c r="A31" s="69"/>
      <c r="B31" t="s">
        <v>559</v>
      </c>
    </row>
    <row r="32" spans="1:2" ht="15.75" thickBot="1" x14ac:dyDescent="0.3">
      <c r="A32" s="69"/>
      <c r="B32" t="s">
        <v>560</v>
      </c>
    </row>
    <row r="33" spans="1:2" ht="15.75" thickBot="1" x14ac:dyDescent="0.3">
      <c r="A33" s="69"/>
      <c r="B33" t="s">
        <v>561</v>
      </c>
    </row>
    <row r="34" spans="1:2" ht="15.75" thickBot="1" x14ac:dyDescent="0.3">
      <c r="A34" s="69"/>
      <c r="B34" t="s">
        <v>562</v>
      </c>
    </row>
    <row r="35" spans="1:2" ht="15.75" thickBot="1" x14ac:dyDescent="0.3">
      <c r="A35" s="69"/>
    </row>
    <row r="36" spans="1:2" ht="15.75" thickBot="1" x14ac:dyDescent="0.3">
      <c r="A36" s="69" t="s">
        <v>251</v>
      </c>
    </row>
    <row r="37" spans="1:2" ht="15.75" thickBot="1" x14ac:dyDescent="0.3">
      <c r="A37" s="69" t="s">
        <v>256</v>
      </c>
    </row>
    <row r="38" spans="1:2" ht="15.75" thickBot="1" x14ac:dyDescent="0.3">
      <c r="A38" s="69" t="s">
        <v>263</v>
      </c>
    </row>
    <row r="39" spans="1:2" ht="15.75" thickBot="1" x14ac:dyDescent="0.3">
      <c r="A39" s="69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U39"/>
  <sheetViews>
    <sheetView topLeftCell="L1" zoomScaleNormal="100" workbookViewId="0">
      <selection activeCell="P25" sqref="P25:U25"/>
    </sheetView>
  </sheetViews>
  <sheetFormatPr defaultRowHeight="15" x14ac:dyDescent="0.25"/>
  <cols>
    <col min="5" max="5" width="27.28515625" customWidth="1"/>
    <col min="7" max="7" width="12.5703125" bestFit="1" customWidth="1"/>
    <col min="8" max="8" width="10.28515625" bestFit="1" customWidth="1"/>
    <col min="10" max="10" width="32.7109375" customWidth="1"/>
    <col min="11" max="11" width="12.42578125" bestFit="1" customWidth="1"/>
    <col min="12" max="12" width="18.7109375" customWidth="1"/>
    <col min="13" max="13" width="10.140625" bestFit="1" customWidth="1"/>
    <col min="16" max="16" width="35.28515625" customWidth="1"/>
    <col min="17" max="17" width="13" customWidth="1"/>
  </cols>
  <sheetData>
    <row r="7" spans="5:21" x14ac:dyDescent="0.25">
      <c r="J7" t="s">
        <v>555</v>
      </c>
    </row>
    <row r="11" spans="5:21" x14ac:dyDescent="0.25">
      <c r="E11" s="41" t="s">
        <v>539</v>
      </c>
      <c r="F11" s="41"/>
      <c r="G11" s="41"/>
      <c r="H11" s="41"/>
      <c r="I11" s="41"/>
      <c r="J11" s="41" t="s">
        <v>556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</row>
    <row r="12" spans="5:21" ht="60" x14ac:dyDescent="0.25">
      <c r="E12" s="17" t="s">
        <v>15</v>
      </c>
      <c r="F12" s="17" t="s">
        <v>16</v>
      </c>
      <c r="G12" s="17" t="s">
        <v>17</v>
      </c>
      <c r="H12" s="17" t="s">
        <v>18</v>
      </c>
      <c r="I12" s="17" t="s">
        <v>19</v>
      </c>
      <c r="J12" s="17" t="s">
        <v>20</v>
      </c>
      <c r="K12" s="17" t="s">
        <v>21</v>
      </c>
      <c r="L12" s="17" t="s">
        <v>22</v>
      </c>
      <c r="M12" s="17" t="s">
        <v>23</v>
      </c>
      <c r="N12" s="17" t="s">
        <v>51</v>
      </c>
      <c r="O12" s="17" t="s">
        <v>24</v>
      </c>
      <c r="P12" s="17" t="s">
        <v>25</v>
      </c>
      <c r="Q12" s="18" t="s">
        <v>14</v>
      </c>
      <c r="R12" s="18" t="s">
        <v>9</v>
      </c>
      <c r="S12" s="18" t="s">
        <v>10</v>
      </c>
      <c r="T12" s="19" t="s">
        <v>11</v>
      </c>
      <c r="U12" s="19" t="s">
        <v>13</v>
      </c>
    </row>
    <row r="13" spans="5:21" x14ac:dyDescent="0.25">
      <c r="E13" s="41" t="s">
        <v>508</v>
      </c>
      <c r="F13" s="42">
        <v>5</v>
      </c>
      <c r="G13" s="43" t="s">
        <v>59</v>
      </c>
      <c r="H13" s="43" t="s">
        <v>60</v>
      </c>
      <c r="I13" s="43" t="s">
        <v>61</v>
      </c>
      <c r="J13" s="43"/>
      <c r="K13" s="43"/>
      <c r="L13" s="43"/>
      <c r="M13" s="44"/>
      <c r="N13" s="41"/>
      <c r="O13" s="41" t="s">
        <v>509</v>
      </c>
      <c r="P13" s="45" t="s">
        <v>444</v>
      </c>
      <c r="Q13" s="41">
        <v>163953</v>
      </c>
      <c r="R13" s="41">
        <v>0.86699999999999999</v>
      </c>
      <c r="S13" s="41">
        <v>0.75303071450110004</v>
      </c>
      <c r="T13" s="41">
        <v>0.313081668302227</v>
      </c>
      <c r="U13" s="41">
        <v>0.33399324025014299</v>
      </c>
    </row>
    <row r="14" spans="5:21" x14ac:dyDescent="0.25">
      <c r="E14" s="41" t="s">
        <v>518</v>
      </c>
      <c r="F14" s="42">
        <v>2</v>
      </c>
      <c r="G14" s="43" t="s">
        <v>124</v>
      </c>
      <c r="H14" s="43" t="s">
        <v>125</v>
      </c>
      <c r="I14" s="43" t="s">
        <v>126</v>
      </c>
      <c r="J14" s="43" t="s">
        <v>127</v>
      </c>
      <c r="K14" s="43" t="s">
        <v>128</v>
      </c>
      <c r="L14" s="43" t="s">
        <v>129</v>
      </c>
      <c r="M14" s="41"/>
      <c r="N14" s="41"/>
      <c r="O14" s="41" t="s">
        <v>511</v>
      </c>
      <c r="P14" s="45" t="s">
        <v>444</v>
      </c>
      <c r="Q14" s="41">
        <v>166707</v>
      </c>
      <c r="R14" s="41">
        <v>0.41</v>
      </c>
      <c r="S14" s="41">
        <v>0.30190252624140801</v>
      </c>
      <c r="T14" s="41">
        <v>0.13527836833585999</v>
      </c>
      <c r="U14" s="41">
        <v>7.3449479160438397E-2</v>
      </c>
    </row>
    <row r="15" spans="5:21" x14ac:dyDescent="0.25">
      <c r="E15" s="41" t="s">
        <v>520</v>
      </c>
      <c r="F15" s="46">
        <v>6</v>
      </c>
      <c r="G15" s="47" t="s">
        <v>271</v>
      </c>
      <c r="H15" s="47" t="s">
        <v>272</v>
      </c>
      <c r="I15" s="47" t="s">
        <v>245</v>
      </c>
      <c r="J15" s="47" t="s">
        <v>273</v>
      </c>
      <c r="K15" s="47" t="s">
        <v>135</v>
      </c>
      <c r="L15" s="47" t="s">
        <v>274</v>
      </c>
      <c r="M15" s="41"/>
      <c r="N15" s="41"/>
      <c r="O15" s="41" t="s">
        <v>513</v>
      </c>
      <c r="P15" s="45" t="s">
        <v>445</v>
      </c>
      <c r="Q15" s="41">
        <v>28538</v>
      </c>
      <c r="R15" s="41">
        <v>0.629</v>
      </c>
      <c r="S15" s="41">
        <v>0.44973378506483402</v>
      </c>
      <c r="T15" s="41">
        <v>8.4225208304207905E-2</v>
      </c>
      <c r="U15" s="41">
        <v>7.8943155007055399E-2</v>
      </c>
    </row>
    <row r="16" spans="5:21" x14ac:dyDescent="0.25">
      <c r="E16" s="41" t="s">
        <v>522</v>
      </c>
      <c r="F16" s="46">
        <v>3</v>
      </c>
      <c r="G16" s="47" t="s">
        <v>149</v>
      </c>
      <c r="H16" s="47" t="s">
        <v>150</v>
      </c>
      <c r="I16" s="47" t="s">
        <v>61</v>
      </c>
      <c r="J16" s="47" t="s">
        <v>143</v>
      </c>
      <c r="K16" s="47" t="s">
        <v>144</v>
      </c>
      <c r="L16" s="47" t="s">
        <v>145</v>
      </c>
      <c r="M16" s="41"/>
      <c r="N16" s="41"/>
      <c r="O16" s="41" t="s">
        <v>515</v>
      </c>
      <c r="P16" s="45" t="s">
        <v>445</v>
      </c>
      <c r="Q16" s="41">
        <v>26565</v>
      </c>
      <c r="R16" s="41">
        <v>0.88200000000000001</v>
      </c>
      <c r="S16" s="41">
        <v>0.64797286234106399</v>
      </c>
      <c r="T16" s="41">
        <v>0.103134948951358</v>
      </c>
      <c r="U16" s="41">
        <v>0.14029497948990399</v>
      </c>
    </row>
    <row r="21" spans="5:21" x14ac:dyDescent="0.25">
      <c r="E21" t="s">
        <v>552</v>
      </c>
    </row>
    <row r="22" spans="5:21" x14ac:dyDescent="0.25">
      <c r="E22" s="41" t="s">
        <v>517</v>
      </c>
      <c r="F22" s="46">
        <v>6</v>
      </c>
      <c r="G22" s="47" t="s">
        <v>524</v>
      </c>
      <c r="H22" s="47" t="s">
        <v>525</v>
      </c>
      <c r="I22" s="47" t="s">
        <v>61</v>
      </c>
      <c r="J22" s="47" t="s">
        <v>526</v>
      </c>
      <c r="K22" s="47" t="s">
        <v>215</v>
      </c>
      <c r="L22" s="47" t="s">
        <v>527</v>
      </c>
      <c r="M22" s="41"/>
      <c r="N22" s="41"/>
      <c r="O22" s="41" t="s">
        <v>510</v>
      </c>
      <c r="P22" s="45" t="s">
        <v>445</v>
      </c>
      <c r="Q22" s="41">
        <v>12</v>
      </c>
      <c r="R22" s="41">
        <v>2</v>
      </c>
      <c r="S22" s="41">
        <v>2</v>
      </c>
      <c r="T22" s="41">
        <v>1.9004146933577599</v>
      </c>
      <c r="U22" s="41">
        <v>2</v>
      </c>
    </row>
    <row r="23" spans="5:21" x14ac:dyDescent="0.25">
      <c r="E23" s="41" t="s">
        <v>521</v>
      </c>
      <c r="F23" s="46">
        <v>1</v>
      </c>
      <c r="G23" s="47" t="s">
        <v>514</v>
      </c>
      <c r="H23" s="47" t="s">
        <v>532</v>
      </c>
      <c r="I23" s="47" t="s">
        <v>61</v>
      </c>
      <c r="J23" s="47" t="s">
        <v>102</v>
      </c>
      <c r="K23" s="47" t="s">
        <v>533</v>
      </c>
      <c r="L23" s="47" t="s">
        <v>534</v>
      </c>
      <c r="M23" s="41"/>
      <c r="N23" s="41"/>
      <c r="O23" s="41" t="s">
        <v>514</v>
      </c>
      <c r="P23" s="45" t="s">
        <v>445</v>
      </c>
      <c r="Q23" s="41">
        <v>2</v>
      </c>
      <c r="R23" s="41">
        <v>2</v>
      </c>
      <c r="S23" s="41">
        <v>2</v>
      </c>
      <c r="T23" s="41">
        <v>2</v>
      </c>
      <c r="U23" s="41">
        <v>2</v>
      </c>
    </row>
    <row r="24" spans="5:21" x14ac:dyDescent="0.25">
      <c r="E24" s="41" t="s">
        <v>519</v>
      </c>
      <c r="F24" s="46">
        <v>1</v>
      </c>
      <c r="G24" s="47" t="s">
        <v>528</v>
      </c>
      <c r="H24" s="47" t="s">
        <v>85</v>
      </c>
      <c r="I24" s="47" t="s">
        <v>61</v>
      </c>
      <c r="J24" s="47" t="s">
        <v>529</v>
      </c>
      <c r="K24" s="47" t="s">
        <v>530</v>
      </c>
      <c r="L24" s="47" t="s">
        <v>531</v>
      </c>
      <c r="M24" s="41"/>
      <c r="N24" s="41"/>
      <c r="O24" s="41" t="s">
        <v>512</v>
      </c>
      <c r="P24" s="45" t="s">
        <v>445</v>
      </c>
      <c r="Q24" s="41">
        <v>63</v>
      </c>
      <c r="R24" s="41">
        <v>2</v>
      </c>
      <c r="S24" s="41">
        <v>2</v>
      </c>
      <c r="T24" s="41">
        <v>0.84262660123533695</v>
      </c>
      <c r="U24" s="41">
        <v>2</v>
      </c>
    </row>
    <row r="25" spans="5:21" x14ac:dyDescent="0.25">
      <c r="E25" s="41" t="s">
        <v>523</v>
      </c>
      <c r="F25" s="42">
        <v>3</v>
      </c>
      <c r="G25" s="43" t="s">
        <v>535</v>
      </c>
      <c r="H25" s="43" t="s">
        <v>536</v>
      </c>
      <c r="I25" s="43" t="s">
        <v>61</v>
      </c>
      <c r="J25" s="43" t="s">
        <v>537</v>
      </c>
      <c r="K25" s="43" t="s">
        <v>135</v>
      </c>
      <c r="L25" s="43" t="s">
        <v>538</v>
      </c>
      <c r="M25" s="41"/>
      <c r="N25" s="41"/>
      <c r="O25" s="41" t="s">
        <v>516</v>
      </c>
      <c r="P25" s="45" t="s">
        <v>444</v>
      </c>
      <c r="Q25" s="41">
        <v>374014</v>
      </c>
      <c r="R25" s="41">
        <v>0.309</v>
      </c>
      <c r="S25" s="41">
        <v>0.27003392389229802</v>
      </c>
      <c r="T25" s="41">
        <v>0.20287662088071501</v>
      </c>
      <c r="U25" s="41">
        <v>0.205518043447114</v>
      </c>
    </row>
    <row r="27" spans="5:21" ht="15.75" thickBot="1" x14ac:dyDescent="0.3"/>
    <row r="28" spans="5:21" ht="15.75" thickBot="1" x14ac:dyDescent="0.3">
      <c r="E28" s="6"/>
      <c r="F28" s="10"/>
      <c r="G28" s="6"/>
      <c r="H28" s="6"/>
      <c r="I28" s="6"/>
      <c r="J28" s="6"/>
      <c r="K28" s="6"/>
      <c r="L28" s="6"/>
      <c r="M28" s="11"/>
    </row>
    <row r="29" spans="5:21" ht="15.75" thickBot="1" x14ac:dyDescent="0.3">
      <c r="E29" s="6"/>
      <c r="F29" s="10"/>
      <c r="G29" s="6"/>
      <c r="H29" s="6"/>
      <c r="I29" s="6"/>
      <c r="J29" s="6"/>
      <c r="K29" s="6"/>
      <c r="L29" s="6"/>
    </row>
    <row r="30" spans="5:21" ht="15.75" thickBot="1" x14ac:dyDescent="0.3">
      <c r="E30" s="6"/>
      <c r="F30" s="10"/>
      <c r="G30" s="9"/>
      <c r="H30" s="6"/>
      <c r="I30" s="6"/>
      <c r="J30" s="6"/>
      <c r="K30" s="6"/>
      <c r="L30" s="6"/>
    </row>
    <row r="34" spans="5:15" x14ac:dyDescent="0.25">
      <c r="E34" s="70"/>
      <c r="O34" s="13"/>
    </row>
    <row r="35" spans="5:15" x14ac:dyDescent="0.25">
      <c r="E35" s="70"/>
      <c r="O35" s="13"/>
    </row>
    <row r="36" spans="5:15" x14ac:dyDescent="0.25">
      <c r="E36" s="13"/>
      <c r="O36" s="13"/>
    </row>
    <row r="37" spans="5:15" x14ac:dyDescent="0.25">
      <c r="E37" s="13"/>
      <c r="O37" s="13"/>
    </row>
    <row r="38" spans="5:15" x14ac:dyDescent="0.25">
      <c r="E38" s="70"/>
      <c r="O38" s="13"/>
    </row>
    <row r="39" spans="5:15" x14ac:dyDescent="0.25">
      <c r="E39" s="70"/>
      <c r="O39" s="13"/>
    </row>
  </sheetData>
  <mergeCells count="2">
    <mergeCell ref="E34:E35"/>
    <mergeCell ref="E38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Details</vt:lpstr>
      <vt:lpstr>FOLDER</vt:lpstr>
      <vt:lpstr>GC comments</vt:lpstr>
      <vt:lpstr>Inconclusive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Anderson</cp:lastModifiedBy>
  <dcterms:created xsi:type="dcterms:W3CDTF">2025-11-04T07:47:05Z</dcterms:created>
  <dcterms:modified xsi:type="dcterms:W3CDTF">2026-02-23T07:54:40Z</dcterms:modified>
</cp:coreProperties>
</file>